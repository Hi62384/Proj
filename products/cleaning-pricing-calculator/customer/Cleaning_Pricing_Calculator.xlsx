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bc29019b7942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f7d2e1a9a4c844d0"/>
    <x:sheet xmlns:r="http://schemas.openxmlformats.org/officeDocument/2006/relationships" name="OVERVIEW" sheetId="2" r:id="R2cf0d78e3d2d4af0"/>
    <x:sheet xmlns:r="http://schemas.openxmlformats.org/officeDocument/2006/relationships" name="QUICK QUOTE" sheetId="3" r:id="R6d7ff77799104fdb"/>
    <x:sheet xmlns:r="http://schemas.openxmlformats.org/officeDocument/2006/relationships" name="CLIENT QUOTE" sheetId="4" r:id="R0c042cbbcc4d4fa8"/>
    <x:sheet xmlns:r="http://schemas.openxmlformats.org/officeDocument/2006/relationships" name="JOB SCENARIOS" sheetId="5" r:id="Rf8615288d845462d"/>
    <x:sheet xmlns:r="http://schemas.openxmlformats.org/officeDocument/2006/relationships" name="JOB LOG" sheetId="6" r:id="Rc8ffb2369cfe45dc"/>
    <x:sheet xmlns:r="http://schemas.openxmlformats.org/officeDocument/2006/relationships" name="SERVICES" sheetId="7" r:id="Rcd5d60246e0f4893"/>
    <x:sheet xmlns:r="http://schemas.openxmlformats.org/officeDocument/2006/relationships" name="SETTINGS" sheetId="8" r:id="R0afef0685bfe4b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CAD &quot;#,##0.00;[Red](&quot;CAD &quot;#,##0.00);&quot;-&quot;"/>
    <x:numFmt numFmtId="201" formatCode="0.0%;[Red](0.0%);&quot;-&quot;"/>
    <x:numFmt numFmtId="202" formatCode="0"/>
    <x:numFmt numFmtId="203" formatCode="#,##0.0;[Red](#,##0.0);&quot;-&quot;"/>
  </x:numFmts>
  <x:fonts count="21">
    <x:font>
      <x:sz val="11"/>
      <x:name val="Carlito"/>
    </x:font>
    <x:font>
      <x:b/>
      <x:sz val="21"/>
      <x:color rgb="FFFFFFFF"/>
      <x:name val="Carlito"/>
    </x:font>
    <x:font>
      <x:b/>
      <x:sz val="14"/>
      <x:color rgb="FFFFFFFF"/>
      <x:name val="Carlito"/>
    </x:font>
    <x:font>
      <x:b/>
      <x:sz val="10"/>
      <x:color rgb="FF0A837A"/>
      <x:name val="Carlito"/>
    </x:font>
    <x:font>
      <x:sz val="11"/>
      <x:color rgb="FF1D3142"/>
      <x:name val="Carlito"/>
    </x:font>
    <x:font>
      <x:b/>
      <x:sz val="11"/>
      <x:color rgb="FFFFFFFF"/>
      <x:name val="Carlito"/>
    </x:font>
    <x:font>
      <x:sz val="10"/>
      <x:color rgb="FF80550B"/>
      <x:name val="Carlito"/>
    </x:font>
    <x:font>
      <x:b/>
      <x:sz val="12"/>
      <x:color rgb="FF0A837A"/>
      <x:name val="Carlito"/>
    </x:font>
    <x:font>
      <x:b/>
      <x:sz val="18"/>
      <x:color rgb="FFFFFFFF"/>
      <x:name val="Carlito"/>
    </x:font>
    <x:font>
      <x:b/>
      <x:sz val="10"/>
      <x:color rgb="FFFFFFFF"/>
      <x:name val="Carlito"/>
    </x:font>
    <x:font>
      <x:sz val="10"/>
      <x:color rgb="FF1D3142"/>
      <x:name val="Carlito"/>
    </x:font>
    <x:font>
      <x:sz val="10"/>
      <x:color rgb="FF556879"/>
      <x:name val="Carlito"/>
    </x:font>
    <x:font>
      <x:sz val="10"/>
      <x:color rgb="FF1D4ED8"/>
      <x:name val="Carlito"/>
    </x:font>
    <x:font>
      <x:b/>
      <x:sz val="10"/>
      <x:color rgb="FF80550B"/>
      <x:name val="Carlito"/>
    </x:font>
    <x:font>
      <x:b/>
      <x:sz val="19"/>
      <x:color rgb="FFFFFFFF"/>
      <x:name val="Carlito"/>
    </x:font>
    <x:font>
      <x:b/>
      <x:sz val="17"/>
      <x:color rgb="FF0A837A"/>
      <x:name val="Carlito"/>
    </x:font>
    <x:font>
      <x:sz val="11"/>
      <x:color rgb="FF556879"/>
      <x:name val="Carlito"/>
    </x:font>
    <x:font>
      <x:b/>
      <x:sz val="11"/>
      <x:color rgb="FF0E7C67"/>
      <x:name val="Carlito"/>
    </x:font>
    <x:font>
      <x:b/>
      <x:sz val="17"/>
      <x:color rgb="FFFFFFFF"/>
      <x:name val="Carlito"/>
    </x:font>
    <x:font>
      <x:b/>
      <x:sz val="20"/>
      <x:color rgb="FF0A837A"/>
      <x:name val="Carlito"/>
    </x:font>
    <x:font>
      <x:b/>
      <x:sz val="13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3263A"/>
      </x:patternFill>
    </x:fill>
    <x:fill>
      <x:patternFill patternType="solid">
        <x:fgColor rgb="FF0A837A"/>
      </x:patternFill>
    </x:fill>
    <x:fill>
      <x:patternFill patternType="solid">
        <x:fgColor rgb="FFD9F4F0"/>
      </x:patternFill>
    </x:fill>
    <x:fill>
      <x:patternFill patternType="solid">
        <x:fgColor rgb="FFFFFFFF"/>
      </x:patternFill>
    </x:fill>
    <x:fill>
      <x:patternFill patternType="solid">
        <x:fgColor rgb="FFF3F7FA"/>
      </x:patternFill>
    </x:fill>
    <x:fill>
      <x:patternFill patternType="solid">
        <x:fgColor rgb="FF1B354B"/>
      </x:patternFill>
    </x:fill>
    <x:fill>
      <x:patternFill patternType="solid">
        <x:fgColor rgb="FFFFF1C5"/>
      </x:patternFill>
    </x:fill>
    <x:fill>
      <x:patternFill patternType="solid">
        <x:fgColor rgb="FFEFF6FF"/>
      </x:patternFill>
    </x:fill>
  </x:fills>
  <x:borders count="2">
    <x:border/>
    <x:border/>
  </x:borders>
  <x:cellStyleXfs count="1">
    <x:xf numFmtId="0" fontId="0" fillId="0" borderId="0"/>
  </x:cellStyleXfs>
  <x:cellXfs count="1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vertical="center"/>
    </x:xf>
    <x:xf numFmtId="0" fontId="0" fillId="9" borderId="1" xfId="0" applyNumberFormat="1" applyFont="1" applyFill="1" applyBorder="1"/>
    <x:xf numFmtId="0" fontId="12" fillId="9" borderId="1" xfId="0" applyNumberFormat="1" applyFont="1" applyFill="1" applyBorder="1"/>
    <x:xf numFmtId="0" fontId="12" fillId="9" borderId="1" xfId="0" applyNumberFormat="1" applyFont="1" applyFill="1" applyBorder="1" applyAlignment="1">
      <x:alignment vertical="center"/>
    </x:xf>
    <x:xf numFmtId="200" fontId="12" fillId="9" borderId="0" xfId="0" applyNumberFormat="1" applyFont="1" applyFill="1" applyBorder="1" applyAlignment="1">
      <x:alignment vertical="center"/>
    </x:xf>
    <x:xf numFmtId="200" fontId="12" fillId="9" borderId="1" xfId="0" applyNumberFormat="1" applyFont="1" applyFill="1" applyBorder="1" applyAlignment="1">
      <x:alignment vertical="center"/>
    </x:xf>
    <x:xf numFmtId="201" fontId="12" fillId="9" borderId="0" xfId="0" applyNumberFormat="1" applyFont="1" applyFill="1" applyBorder="1" applyAlignment="1">
      <x:alignment vertical="center"/>
    </x:xf>
    <x:xf numFmtId="201" fontId="12" fillId="9" borderId="1" xfId="0" applyNumberFormat="1" applyFont="1" applyFill="1" applyBorder="1" applyAlignment="1">
      <x:alignment vertical="center"/>
    </x:xf>
    <x:xf numFmtId="202" fontId="12" fillId="9" borderId="0" xfId="0" applyNumberFormat="1" applyFont="1" applyFill="1" applyBorder="1" applyAlignment="1">
      <x:alignment vertical="center"/>
    </x:xf>
    <x:xf numFmtId="202" fontId="12" fillId="9" borderId="1" xfId="0" applyNumberFormat="1" applyFont="1" applyFill="1" applyBorder="1" applyAlignment="1">
      <x:alignment vertical="center"/>
    </x:xf>
    <x:xf numFmtId="203" fontId="12" fillId="9" borderId="0" xfId="0" applyNumberFormat="1" applyFont="1" applyFill="1" applyBorder="1" applyAlignment="1">
      <x:alignment vertical="center"/>
    </x:xf>
    <x:xf numFmtId="203" fontId="12" fillId="9" borderId="1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vertical="center"/>
    </x:xf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vertical="center"/>
    </x:xf>
    <x:xf numFmtId="203" fontId="4" fillId="5" borderId="1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0" fontId="10" fillId="4" borderId="1" xfId="0" applyNumberFormat="1" applyFont="1" applyFill="1" applyBorder="1" applyAlignment="1">
      <x:alignment vertical="center"/>
    </x:xf>
    <x:xf numFmtId="200" fontId="4" fillId="4" borderId="1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201" fontId="4" fillId="4" borderId="1" xfId="0" applyNumberFormat="1" applyFont="1" applyFill="1" applyBorder="1" applyAlignment="1">
      <x:alignment vertical="center"/>
    </x:xf>
    <x:xf numFmtId="201" fontId="3" fillId="4" borderId="1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13" fillId="8" borderId="0" xfId="0" applyNumberFormat="1" applyFont="1" applyFill="1" applyBorder="1" applyAlignment="1">
      <x:alignment vertical="center"/>
    </x:xf>
    <x:xf numFmtId="0" fontId="10" fillId="8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0" fontId="13" fillId="8" borderId="1" xfId="0" applyNumberFormat="1" applyFont="1" applyFill="1" applyBorder="1" applyAlignment="1">
      <x:alignment vertical="center"/>
    </x:xf>
    <x:xf numFmtId="0" fontId="14" fillId="2" borderId="0" xfId="0" applyNumberFormat="1" applyFont="1" applyFill="1" applyBorder="1"/>
    <x:xf numFmtId="0" fontId="14" fillId="2" borderId="0" xfId="0" applyNumberFormat="1" applyFont="1" applyFill="1" applyBorder="1" applyAlignment="1">
      <x:alignment vertical="center"/>
    </x:xf>
    <x:xf numFmtId="0" fontId="14" fillId="2" borderId="1" xfId="0" applyNumberFormat="1" applyFont="1" applyFill="1" applyBorder="1"/>
    <x:xf numFmtId="0" fontId="14" fillId="2" borderId="1" xfId="0" applyNumberFormat="1" applyFont="1" applyFill="1" applyBorder="1" applyAlignment="1">
      <x:alignment vertical="center"/>
    </x:xf>
    <x:xf numFmtId="0" fontId="15" fillId="4" borderId="0" xfId="0" applyNumberFormat="1" applyFont="1" applyFill="1" applyBorder="1"/>
    <x:xf numFmtId="0" fontId="15" fillId="4" borderId="1" xfId="0" applyNumberFormat="1" applyFont="1" applyFill="1" applyBorder="1"/>
    <x:xf numFmtId="0" fontId="16" fillId="0" borderId="0" xfId="0" applyNumberFormat="1" applyFont="1" applyFill="1" applyBorder="1"/>
    <x:xf numFmtId="0" fontId="16" fillId="0" borderId="1" xfId="0" applyNumberFormat="1" applyFont="1" applyFill="1" applyBorder="1"/>
    <x:xf numFmtId="0" fontId="17" fillId="0" borderId="0" xfId="0" applyNumberFormat="1" applyFont="1" applyFill="1" applyBorder="1"/>
    <x:xf numFmtId="0" fontId="17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0" fontId="10" fillId="0" borderId="1" xfId="0" applyNumberFormat="1" applyFont="1" applyFill="1" applyBorder="1" applyAlignment="1">
      <x:alignment vertical="center"/>
    </x:xf>
    <x:xf numFmtId="201" fontId="10" fillId="0" borderId="0" xfId="0" applyNumberFormat="1" applyFont="1" applyFill="1" applyBorder="1" applyAlignment="1">
      <x:alignment vertical="center"/>
    </x:xf>
    <x:xf numFmtId="201" fontId="10" fillId="0" borderId="1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/>
    <x:xf numFmtId="200" fontId="10" fillId="0" borderId="1" xfId="0" applyNumberFormat="1" applyFont="1" applyFill="1" applyBorder="1"/>
    <x:xf numFmtId="201" fontId="10" fillId="0" borderId="0" xfId="0" applyNumberFormat="1" applyFont="1" applyFill="1" applyBorder="1"/>
    <x:xf numFmtId="201" fontId="10" fillId="0" borderId="1" xfId="0" applyNumberFormat="1" applyFont="1" applyFill="1" applyBorder="1"/>
    <x:xf numFmtId="0" fontId="18" fillId="2" borderId="0" xfId="0" applyNumberFormat="1" applyFont="1" applyFill="1" applyBorder="1"/>
    <x:xf numFmtId="0" fontId="18" fillId="2" borderId="0" xfId="0" applyNumberFormat="1" applyFont="1" applyFill="1" applyBorder="1" applyAlignment="1">
      <x:alignment vertical="center"/>
    </x:xf>
    <x:xf numFmtId="0" fontId="18" fillId="2" borderId="1" xfId="0" applyNumberFormat="1" applyFont="1" applyFill="1" applyBorder="1"/>
    <x:xf numFmtId="0" fontId="18" fillId="2" borderId="1" xfId="0" applyNumberFormat="1" applyFont="1" applyFill="1" applyBorder="1" applyAlignment="1">
      <x:alignment vertical="center"/>
    </x:xf>
    <x:xf numFmtId="0" fontId="19" fillId="6" borderId="0" xfId="0" applyNumberFormat="1" applyFont="1" applyFill="1" applyBorder="1"/>
    <x:xf numFmtId="0" fontId="19" fillId="6" borderId="1" xfId="0" applyNumberFormat="1" applyFont="1" applyFill="1" applyBorder="1"/>
    <x:xf numFmtId="202" fontId="19" fillId="6" borderId="0" xfId="0" applyNumberFormat="1" applyFont="1" applyFill="1" applyBorder="1"/>
    <x:xf numFmtId="202" fontId="19" fillId="6" borderId="1" xfId="0" applyNumberFormat="1" applyFont="1" applyFill="1" applyBorder="1"/>
    <x:xf numFmtId="200" fontId="19" fillId="6" borderId="0" xfId="0" applyNumberFormat="1" applyFont="1" applyFill="1" applyBorder="1"/>
    <x:xf numFmtId="200" fontId="19" fillId="6" borderId="1" xfId="0" applyNumberFormat="1" applyFont="1" applyFill="1" applyBorder="1"/>
    <x:xf numFmtId="201" fontId="19" fillId="6" borderId="0" xfId="0" applyNumberFormat="1" applyFont="1" applyFill="1" applyBorder="1"/>
    <x:xf numFmtId="201" fontId="19" fillId="6" borderId="1" xfId="0" applyNumberFormat="1" applyFont="1" applyFill="1" applyBorder="1"/>
    <x:xf numFmtId="0" fontId="20" fillId="3" borderId="0" xfId="0" applyNumberFormat="1" applyFont="1" applyFill="1" applyBorder="1"/>
    <x:xf numFmtId="0" fontId="20" fillId="3" borderId="0" xfId="0" applyNumberFormat="1" applyFont="1" applyFill="1" applyBorder="1" applyAlignment="1">
      <x:alignment vertical="center"/>
    </x:xf>
    <x:xf numFmtId="0" fontId="20" fillId="3" borderId="1" xfId="0" applyNumberFormat="1" applyFont="1" applyFill="1" applyBorder="1"/>
    <x:xf numFmtId="0" fontId="20" fillId="3" borderId="1" xfId="0" applyNumberFormat="1" applyFont="1" applyFill="1" applyBorder="1" applyAlignment="1">
      <x:alignment vertical="center"/>
    </x:xf>
    <x:xf numFmtId="0" fontId="13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574ece8a604ac9" /><Relationship Type="http://schemas.openxmlformats.org/officeDocument/2006/relationships/theme" Target="/xl/theme/theme1.xml" Id="R0f9c52ec33f345db" /><Relationship Type="http://schemas.openxmlformats.org/officeDocument/2006/relationships/sharedStrings" Target="/xl/sharedStrings.xml" Id="R5121774d857c453d" /><Relationship Type="http://schemas.openxmlformats.org/officeDocument/2006/relationships/worksheet" Target="/xl/worksheets/sheet1.xml" Id="Rf7d2e1a9a4c844d0" /><Relationship Type="http://schemas.openxmlformats.org/officeDocument/2006/relationships/worksheet" Target="/xl/worksheets/sheet2.xml" Id="R2cf0d78e3d2d4af0" /><Relationship Type="http://schemas.openxmlformats.org/officeDocument/2006/relationships/worksheet" Target="/xl/worksheets/sheet3.xml" Id="R6d7ff77799104fdb" /><Relationship Type="http://schemas.openxmlformats.org/officeDocument/2006/relationships/worksheet" Target="/xl/worksheets/sheet4.xml" Id="R0c042cbbcc4d4fa8" /><Relationship Type="http://schemas.openxmlformats.org/officeDocument/2006/relationships/worksheet" Target="/xl/worksheets/sheet5.xml" Id="Rf8615288d845462d" /><Relationship Type="http://schemas.openxmlformats.org/officeDocument/2006/relationships/worksheet" Target="/xl/worksheets/sheet6.xml" Id="Rc8ffb2369cfe45dc" /><Relationship Type="http://schemas.openxmlformats.org/officeDocument/2006/relationships/worksheet" Target="/xl/worksheets/sheet7.xml" Id="Rcd5d60246e0f4893" /><Relationship Type="http://schemas.openxmlformats.org/officeDocument/2006/relationships/worksheet" Target="/xl/worksheets/sheet8.xml" Id="R0afef0685bfe4b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6" hidden="0" customWidth="1"/>
    <x:col min="4" max="4" width="28" hidden="0" customWidth="1"/>
    <x:col min="5" max="5" width="18" hidden="0" customWidth="1"/>
    <x:col min="6" max="6" width="19" hidden="0" customWidth="1"/>
    <x:col min="7" max="7" width="19" hidden="0" customWidth="1"/>
    <x:col min="8" max="8" width="20" hidden="0" customWidth="1"/>
  </x:cols>
  <x:sheetData>
    <x:row r="1" ht="27" customHeight="1">
      <x:c r="A1" s="4" t="str">
        <x:v>CLEANING BUSINESS  /  PRICING &amp; PROFIT TOOLKIT</x:v>
      </x:c>
      <x:c r="B1" s="4"/>
      <x:c r="C1" s="4"/>
      <x:c r="D1" s="4"/>
      <x:c r="E1" s="4"/>
      <x:c r="F1" s="4"/>
      <x:c r="G1" s="4"/>
      <x:c r="H1" s="4"/>
    </x:row>
    <x:row r="2" ht="27" customHeight="1">
      <x:c r="A2" s="4"/>
      <x:c r="B2" s="4"/>
      <x:c r="C2" s="4"/>
      <x:c r="D2" s="4"/>
      <x:c r="E2" s="4"/>
      <x:c r="F2" s="4"/>
      <x:c r="G2" s="4"/>
      <x:c r="H2" s="4"/>
    </x:row>
    <x:row r="4" ht="28" customHeight="1">
      <x:c r="A4" s="10" t="str">
        <x:v>START HERE  ·  5-MINUTE WALKTHROUGH</x:v>
      </x:c>
      <x:c r="B4" s="10"/>
      <x:c r="C4" s="10"/>
      <x:c r="D4" s="10"/>
      <x:c r="E4" s="10"/>
      <x:c r="F4" s="10"/>
      <x:c r="G4" s="10"/>
      <x:c r="H4" s="10"/>
    </x:row>
    <x:row r="7" ht="35" customHeight="1">
      <x:c r="A7" s="16" t="str">
        <x:v>01</x:v>
      </x:c>
      <x:c r="B7" s="23" t="str">
        <x:v>Go to SETTINGS and replace every illustrative assumption with your real costs. Set Assumptions reviewed? to READY only after checking.</x:v>
      </x:c>
      <x:c r="C7" s="23"/>
      <x:c r="D7" s="23"/>
      <x:c r="E7" s="23"/>
      <x:c r="F7" s="23"/>
      <x:c r="G7" s="23"/>
      <x:c r="H7" s="23"/>
    </x:row>
    <x:row r="8" ht="35" customHeight="1">
      <x:c r="A8" s="16" t="str">
        <x:v>02</x:v>
      </x:c>
      <x:c r="B8" s="31" t="str">
        <x:v>Edit SERVICES: adjust default cleaning hours per employee and standard consumable costs. Do not assume sample hours are industry standards.</x:v>
      </x:c>
      <x:c r="C8" s="31"/>
      <x:c r="D8" s="31"/>
      <x:c r="E8" s="31"/>
      <x:c r="F8" s="31"/>
      <x:c r="G8" s="31"/>
      <x:c r="H8" s="31"/>
    </x:row>
    <x:row r="9" ht="35" customHeight="1">
      <x:c r="A9" s="16" t="str">
        <x:v>03</x:v>
      </x:c>
      <x:c r="B9" s="23" t="str">
        <x:v>Open QUICK QUOTE: select a service, enter the crew, hours, travel, supplies and discount. Check the visible review status.</x:v>
      </x:c>
      <x:c r="C9" s="23"/>
      <x:c r="D9" s="23"/>
      <x:c r="E9" s="23"/>
      <x:c r="F9" s="23"/>
      <x:c r="G9" s="23"/>
      <x:c r="H9" s="23"/>
    </x:row>
    <x:row r="10" ht="35" customHeight="1">
      <x:c r="A10" s="16" t="str">
        <x:v>04</x:v>
      </x:c>
      <x:c r="B10" s="31" t="str">
        <x:v>Review cost, estimated contribution and tax settings. CLIENT QUOTE shows customer-facing values without internal cost breakdown.</x:v>
      </x:c>
      <x:c r="C10" s="31"/>
      <x:c r="D10" s="31"/>
      <x:c r="E10" s="31"/>
      <x:c r="F10" s="31"/>
      <x:c r="G10" s="31"/>
      <x:c r="H10" s="31"/>
    </x:row>
    <x:row r="11" ht="35" customHeight="1">
      <x:c r="A11" s="16" t="str">
        <x:v>05</x:v>
      </x:c>
      <x:c r="B11" s="23" t="str">
        <x:v>Use JOB SCENARIOS for 25 what-if quotes and JOB LOG for real actual-job results. Blank inputs produce blank result rows.</x:v>
      </x:c>
      <x:c r="C11" s="23"/>
      <x:c r="D11" s="23"/>
      <x:c r="E11" s="23"/>
      <x:c r="F11" s="23"/>
      <x:c r="G11" s="23"/>
      <x:c r="H11" s="23"/>
    </x:row>
    <x:row r="12" ht="35" customHeight="1">
      <x:c r="A12" s="16" t="str">
        <x:v>06</x:v>
      </x:c>
      <x:c r="B12" s="31" t="str">
        <x:v>Use OVERVIEW for a snapshot. The workbook never imports bank, payroll or accounting data automatically.</x:v>
      </x:c>
      <x:c r="C12" s="31"/>
      <x:c r="D12" s="31"/>
      <x:c r="E12" s="31"/>
      <x:c r="F12" s="31"/>
      <x:c r="G12" s="31"/>
      <x:c r="H12" s="31"/>
    </x:row>
    <x:row r="15" ht="28" customHeight="1">
      <x:c r="A15" s="38" t="str">
        <x:v>COLOR GUIDE  ·  BLUE = EDITABLE, DARK = CALCULATED, TEAL = CROSS-SHEET</x:v>
      </x:c>
      <x:c r="B15" s="38"/>
      <x:c r="C15" s="38"/>
      <x:c r="D15" s="38"/>
      <x:c r="E15" s="38"/>
      <x:c r="F15" s="38"/>
      <x:c r="G15" s="38"/>
      <x:c r="H15" s="38"/>
    </x:row>
    <x:row r="17" ht="30" customHeight="1">
      <x:c r="A17" s="45" t="str">
        <x:v>All prices are Canadian dollars. Sales-tax default is zero as a placeholder. Set your applicable rate before issuing a customer quote. If the rate is zero legally, document your reason separately.</x:v>
      </x:c>
      <x:c r="B17" s="45"/>
      <x:c r="C17" s="45"/>
      <x:c r="D17" s="45"/>
      <x:c r="E17" s="45"/>
      <x:c r="F17" s="45"/>
      <x:c r="G17" s="45"/>
      <x:c r="H17" s="45"/>
    </x:row>
    <x:row r="18" ht="30" customHeight="1">
      <x:c r="A18" s="45"/>
      <x:c r="B18" s="45"/>
      <x:c r="C18" s="45"/>
      <x:c r="D18" s="45"/>
      <x:c r="E18" s="45"/>
      <x:c r="F18" s="45"/>
      <x:c r="G18" s="45"/>
      <x:c r="H18" s="45"/>
    </x:row>
    <x:row r="20" ht="30" customHeight="1">
      <x:c r="A20" s="45" t="str">
        <x:v>These are decision-support estimates, NOT guaranteed profit, tax advice, legal forms or certified accounting. Costs not entered (advertising, unexpected work, income tax, owner draw) are NOT included.</x:v>
      </x:c>
      <x:c r="B20" s="45"/>
      <x:c r="C20" s="45"/>
      <x:c r="D20" s="45"/>
      <x:c r="E20" s="45"/>
      <x:c r="F20" s="45"/>
      <x:c r="G20" s="45"/>
      <x:c r="H20" s="45"/>
    </x:row>
    <x:row r="21" ht="30" customHeight="1">
      <x:c r="A21" s="45"/>
      <x:c r="B21" s="45"/>
      <x:c r="C21" s="45"/>
      <x:c r="D21" s="45"/>
      <x:c r="E21" s="45"/>
      <x:c r="F21" s="45"/>
      <x:c r="G21" s="45"/>
      <x:c r="H21" s="45"/>
    </x:row>
    <x:row r="23" ht="27" customHeight="1">
      <x:c r="A23" s="50" t="str">
        <x:v>BLANK CUSTOMER TEMPLATE</x:v>
      </x:c>
      <x:c r="B23" s="50"/>
      <x:c r="C23" s="50"/>
      <x:c r="D23" s="50"/>
      <x:c r="E23" s="50"/>
      <x:c r="F23" s="50"/>
      <x:c r="G23" s="50"/>
      <x:c r="H23" s="50"/>
    </x:row>
  </x:sheetData>
  <x:mergeCells>
    <x:mergeCell ref="A1:H2"/>
    <x:mergeCell ref="A4:H4"/>
    <x:mergeCell ref="B7:H7"/>
    <x:mergeCell ref="B8:H8"/>
    <x:mergeCell ref="B9:H9"/>
    <x:mergeCell ref="B10:H10"/>
    <x:mergeCell ref="B11:H11"/>
    <x:mergeCell ref="B12:H12"/>
    <x:mergeCell ref="A15:H15"/>
    <x:mergeCell ref="A17:H18"/>
    <x:mergeCell ref="A20:H21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3" hidden="0" customWidth="1"/>
    <x:col min="3" max="3" width="18" hidden="0" customWidth="1"/>
    <x:col min="4" max="4" width="15" hidden="0" customWidth="1"/>
    <x:col min="5" max="5" width="24" hidden="0" customWidth="1"/>
    <x:col min="6" max="6" width="14" hidden="0" customWidth="1"/>
    <x:col min="7" max="7" width="15" hidden="0" customWidth="1"/>
    <x:col min="8" max="8" width="24" hidden="0" customWidth="1"/>
    <x:col min="9" max="9" width="14" hidden="0" customWidth="1"/>
    <x:col min="10" max="10" width="14" hidden="0" customWidth="1"/>
    <x:col min="11" max="11" width="24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8" customHeight="1">
      <x:c r="A1" s="141" t="str">
        <x:v>WORKBOOK OVERVIEW  /  ESTIMATES ARE NOT GUARANTEED EARNINGS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141"/>
    </x:row>
    <x:row r="2" ht="28" customHeight="1">
      <x:c r="A2" s="141"/>
      <x:c r="B2" s="141"/>
      <x:c r="C2" s="141"/>
      <x:c r="D2" s="141"/>
      <x:c r="E2" s="141"/>
      <x:c r="F2" s="141"/>
      <x:c r="G2" s="141"/>
      <x:c r="H2" s="141"/>
      <x:c r="I2" s="141"/>
      <x:c r="J2" s="141"/>
      <x:c r="K2" s="141"/>
      <x:c r="L2" s="141"/>
      <x:c r="M2" s="141"/>
      <x:c r="N2" s="141"/>
      <x:c r="O2" s="141"/>
    </x:row>
    <x:row r="4" ht="30" customHeight="1">
      <x:c r="A4" s="45" t="str">
        <x:v>Scenario figures come from your drafts; job-log figures come only from what you manually enter. No bank data, tax filing, customer accounts or external integrations exist.</x:v>
      </x:c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</x:row>
    <x:row r="5" ht="30" customHeight="1">
      <x:c r="A5" s="45"/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</x:row>
    <x:row r="7" ht="28" customHeight="1">
      <x:c r="A7" s="56" t="str">
        <x:v>Drafts with reviewed pricing</x:v>
      </x:c>
      <x:c r="B7" s="56"/>
      <x:c r="C7" s="56"/>
      <x:c r="D7" s="56"/>
      <x:c r="E7" s="56" t="str">
        <x:v>Scenarios · quote ex tax</x:v>
      </x:c>
      <x:c r="F7" s="56"/>
      <x:c r="G7" s="56"/>
      <x:c r="H7" s="56" t="str">
        <x:v>Scenarios · contribution</x:v>
      </x:c>
      <x:c r="I7" s="56"/>
      <x:c r="J7" s="56"/>
      <x:c r="K7" s="56" t="str">
        <x:v>Scenarios · margin</x:v>
      </x:c>
      <x:c r="L7" s="56"/>
      <x:c r="M7" s="56"/>
      <x:c r="N7" s="56"/>
      <x:c r="O7" s="56"/>
    </x:row>
    <x:row r="9" ht="39" customHeight="1">
      <x:c r="B9" s="146" t="n">
        <x:f>COUNTIF('JOB SCENARIOS'!Q10:Q34,"READY")</x:f>
        <x:v>0</x:v>
      </x:c>
      <x:c r="E9" s="148" t="n">
        <x:f>SUM('JOB SCENARIOS'!M10:M34)</x:f>
        <x:v>0</x:v>
      </x:c>
      <x:c r="H9" s="148" t="n">
        <x:f>SUM('JOB SCENARIOS'!O10:O34)</x:f>
        <x:v>0</x:v>
      </x:c>
      <x:c r="K9" s="150" t="n">
        <x:f>IF(E9&gt;0,H9/E9,0)</x:f>
        <x:v>0</x:v>
      </x:c>
    </x:row>
    <x:row r="13" ht="28" customHeight="1">
      <x:c r="A13" s="56" t="str">
        <x:v>Completed jobs entered</x:v>
      </x:c>
      <x:c r="B13" s="56"/>
      <x:c r="C13" s="56"/>
      <x:c r="D13" s="56"/>
      <x:c r="E13" s="56" t="str">
        <x:v>Actual sales before tax</x:v>
      </x:c>
      <x:c r="F13" s="56"/>
      <x:c r="G13" s="56"/>
      <x:c r="H13" s="56" t="str">
        <x:v>Observed contribution</x:v>
      </x:c>
      <x:c r="I13" s="56"/>
      <x:c r="J13" s="56"/>
      <x:c r="K13" s="56" t="str">
        <x:v>Observed margin</x:v>
      </x:c>
      <x:c r="L13" s="56"/>
      <x:c r="M13" s="56"/>
      <x:c r="N13" s="56"/>
      <x:c r="O13" s="56"/>
    </x:row>
    <x:row r="15" ht="39" customHeight="1">
      <x:c r="B15" s="146" t="n">
        <x:f>COUNTA('JOB LOG'!A10:A34)</x:f>
        <x:v>0</x:v>
      </x:c>
      <x:c r="E15" s="148" t="n">
        <x:f>SUM('JOB LOG'!E10:E34)</x:f>
        <x:v>0</x:v>
      </x:c>
      <x:c r="H15" s="148" t="n">
        <x:f>SUM('JOB LOG'!K10:K34)</x:f>
        <x:v>0</x:v>
      </x:c>
      <x:c r="K15" s="150" t="n">
        <x:f>IF(E15&gt;0,H15/E15,0)</x:f>
        <x:v>0</x:v>
      </x:c>
    </x:row>
    <x:row r="19" ht="28" customHeight="1">
      <x:c r="A19" s="153" t="str">
        <x:v>WORKFLOW / WHAT MATTERS</x:v>
      </x:c>
      <x:c r="B19" s="153"/>
      <x:c r="C19" s="153"/>
      <x:c r="D19" s="153"/>
      <x:c r="E19" s="153"/>
      <x:c r="F19" s="153"/>
      <x:c r="G19" s="153"/>
      <x:c r="H19" s="153"/>
      <x:c r="I19" s="153"/>
      <x:c r="J19" s="153"/>
      <x:c r="K19" s="153"/>
      <x:c r="L19" s="153"/>
      <x:c r="M19" s="153"/>
      <x:c r="N19" s="153"/>
      <x:c r="O19" s="153"/>
    </x:row>
    <x:row r="21" ht="29" customHeight="1">
      <x:c r="A21" s="21" t="str">
        <x:v>1. SETTINGS -&gt; Review costs and sales tax; mark READY after checking.</x:v>
      </x:c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  <x:c r="M21" s="21"/>
      <x:c r="N21" s="21"/>
      <x:c r="O21" s="21"/>
    </x:row>
    <x:row r="22" ht="29" customHeight="1">
      <x:c r="A22" s="29" t="str">
        <x:v>2. SERVICES -&gt; Replace illustrative hours and supplies with your data.</x:v>
      </x:c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</x:row>
    <x:row r="23" ht="29" customHeight="1">
      <x:c r="A23" s="21" t="str">
        <x:v>3. QUICK QUOTE -&gt; Build a cost-based quote, then inspect CLIENT QUOTE.</x:v>
      </x:c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  <x:c r="M23" s="21"/>
      <x:c r="N23" s="21"/>
      <x:c r="O23" s="21"/>
    </x:row>
    <x:row r="24" ht="29" customHeight="1">
      <x:c r="A24" s="29" t="str">
        <x:v>4. JOB SCENARIOS -&gt; Compare up to 25 bids and service mixes.</x:v>
      </x:c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</x:row>
    <x:row r="25" ht="29" customHeight="1">
      <x:c r="A25" s="21" t="str">
        <x:v>5. JOB LOG -&gt; Enter actual project results to learn what earned money.</x:v>
      </x:c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  <x:c r="M25" s="21"/>
      <x:c r="N25" s="21"/>
      <x:c r="O25" s="21"/>
    </x:row>
    <x:row r="26" ht="29" customHeight="1">
      <x:c r="A26" s="29" t="str">
        <x:v>6. Never treat contribution as accounting net profit or sales tax as revenue.</x:v>
      </x:c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</x:row>
    <x:row r="29" ht="23" customHeight="1">
      <x:c r="A29" s="110" t="str">
        <x:f>IF(SETTINGS!B23="READY","ASSUMPTIONS MARKED READY — REVIEW ALL OUTPUTS","SETUP REQUIRED — GO TO SETTINGS AND REVIEW BLUE CELLS")</x:f>
        <x:v>SETUP REQUIRED — GO TO SETTINGS AND REVIEW BLUE CELLS</x:v>
      </x:c>
      <x:c r="B29" s="110"/>
      <x:c r="C29" s="110"/>
      <x:c r="D29" s="110"/>
      <x:c r="E29" s="110"/>
      <x:c r="F29" s="110"/>
      <x:c r="G29" s="110"/>
      <x:c r="H29" s="110"/>
      <x:c r="I29" s="110"/>
      <x:c r="J29" s="110"/>
      <x:c r="K29" s="110"/>
      <x:c r="L29" s="110"/>
      <x:c r="M29" s="110"/>
      <x:c r="N29" s="110"/>
      <x:c r="O29" s="110"/>
    </x:row>
  </x:sheetData>
  <x:mergeCells>
    <x:mergeCell ref="A1:O2"/>
    <x:mergeCell ref="A4:O5"/>
    <x:mergeCell ref="A7:D7"/>
    <x:mergeCell ref="E7:G7"/>
    <x:mergeCell ref="H7:J7"/>
    <x:mergeCell ref="K7:O7"/>
    <x:mergeCell ref="A13:D13"/>
    <x:mergeCell ref="E13:G13"/>
    <x:mergeCell ref="H13:J13"/>
    <x:mergeCell ref="K13:O13"/>
    <x:mergeCell ref="A19:O19"/>
    <x:mergeCell ref="A21:O21"/>
    <x:mergeCell ref="A22:O22"/>
    <x:mergeCell ref="A23:O23"/>
    <x:mergeCell ref="A24:O24"/>
    <x:mergeCell ref="A25:O25"/>
    <x:mergeCell ref="A26:O26"/>
    <x:mergeCell ref="A29:O2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5" hidden="0" customWidth="1"/>
    <x:col min="3" max="3" width="15" hidden="0" customWidth="1"/>
    <x:col min="4" max="4" width="7" hidden="0" customWidth="1"/>
    <x:col min="5" max="5" width="37" hidden="0" customWidth="1"/>
    <x:col min="6" max="6" width="26" hidden="0" customWidth="1"/>
    <x:col min="7" max="7" width="13" hidden="0" customWidth="1"/>
    <x:col min="8" max="8" width="16" hidden="0" customWidth="1"/>
    <x:col min="9" max="9" width="15" hidden="0" customWidth="1"/>
  </x:cols>
  <x:sheetData>
    <x:row r="1" ht="28" customHeight="1">
      <x:c r="A1" s="53" t="str">
        <x:v>QUICK QUOTE  /  COST-BASED SERVICE PRICING</x:v>
      </x:c>
      <x:c r="B1" s="53"/>
      <x:c r="C1" s="53"/>
      <x:c r="D1" s="53"/>
      <x:c r="E1" s="53"/>
      <x:c r="F1" s="53"/>
      <x:c r="G1" s="53"/>
      <x:c r="H1" s="53"/>
      <x:c r="I1" s="53"/>
    </x:row>
    <x:row r="2" ht="28" customHeight="1">
      <x:c r="A2" s="53"/>
      <x:c r="B2" s="53"/>
      <x:c r="C2" s="53"/>
      <x:c r="D2" s="53"/>
      <x:c r="E2" s="53"/>
      <x:c r="F2" s="53"/>
      <x:c r="G2" s="53"/>
      <x:c r="H2" s="53"/>
      <x:c r="I2" s="53"/>
    </x:row>
    <x:row r="4" ht="30" customHeight="1">
      <x:c r="A4" s="45" t="str">
        <x:v>Edit BLUE input cells only. All costs and quotes are estimates; verify actual labor, tax and service scope. Check STATUS at bottom right before offering a price.</x:v>
      </x:c>
      <x:c r="B4" s="45"/>
      <x:c r="C4" s="45"/>
      <x:c r="D4" s="45"/>
      <x:c r="E4" s="45"/>
      <x:c r="F4" s="45"/>
      <x:c r="G4" s="45"/>
      <x:c r="H4" s="45"/>
      <x:c r="I4" s="45"/>
    </x:row>
    <x:row r="5" ht="30" customHeight="1">
      <x:c r="A5" s="45"/>
      <x:c r="B5" s="45"/>
      <x:c r="C5" s="45"/>
      <x:c r="D5" s="45"/>
      <x:c r="E5" s="45"/>
      <x:c r="F5" s="45"/>
      <x:c r="G5" s="45"/>
      <x:c r="H5" s="45"/>
      <x:c r="I5" s="45"/>
    </x:row>
    <x:row r="8" ht="34" customHeight="1">
      <x:c r="A8" s="58" t="str">
        <x:v>Job detail</x:v>
      </x:c>
      <x:c r="B8" s="58" t="str">
        <x:v>Enter here</x:v>
      </x:c>
      <x:c r="E8" s="58" t="str">
        <x:v>Automatic calculation</x:v>
      </x:c>
      <x:c r="F8" s="58" t="str">
        <x:v>Estimate (CAD)</x:v>
      </x:c>
    </x:row>
    <x:row r="10" ht="23" customHeight="1">
      <x:c r="A10" s="87" t="str">
        <x:v>Quote reference</x:v>
      </x:c>
      <x:c r="B10" s="74" t="str"/>
    </x:row>
    <x:row r="11" ht="26" customHeight="1">
      <x:c r="A11" s="87" t="str">
        <x:v>Cleaning service</x:v>
      </x:c>
      <x:c r="B11" s="74" t="str"/>
      <x:c r="E11" s="87" t="str">
        <x:v>Actual on-site hours / employee</x:v>
      </x:c>
      <x:c r="F11" s="92" t="str">
        <x:f>IF(OR(F27="READY TO REVIEW",F27="REVIEW SETTINGS"),IF(B13="",IFERROR(VLOOKUP(B11,SERVICES!$A$9:$C$15,2,FALSE),0),B13),"")</x:f>
      </x:c>
    </x:row>
    <x:row r="12" ht="26" customHeight="1">
      <x:c r="A12" s="87" t="str">
        <x:v>Crew size - people</x:v>
      </x:c>
      <x:c r="B12" s="82" t="n">
        <x:v>1</x:v>
      </x:c>
      <x:c r="E12" s="87" t="str">
        <x:v>Loaded labor cost</x:v>
      </x:c>
      <x:c r="F12" s="94" t="str">
        <x:f>IF(OR(F27="READY TO REVIEW",F27="REVIEW SETTINGS"),ROUND(B12*(F11+B14)*SETTINGS!$B$10,2),"")</x:f>
      </x:c>
    </x:row>
    <x:row r="13" ht="26" customHeight="1">
      <x:c r="A13" s="87" t="str">
        <x:v>On-site hours / employee (optional)</x:v>
      </x:c>
      <x:c r="B13" s="84"/>
      <x:c r="E13" s="87" t="str">
        <x:v>Supplies and consumables</x:v>
      </x:c>
      <x:c r="F13" s="94" t="str">
        <x:f>IF(OR(F27="READY TO REVIEW",F27="REVIEW SETTINGS"),ROUND(IFERROR(VLOOKUP(B11,SERVICES!$A$9:$C$15,3,FALSE),0)+B16,2),"")</x:f>
      </x:c>
    </x:row>
    <x:row r="14" ht="26" customHeight="1">
      <x:c r="A14" s="87" t="str">
        <x:v>Paid travel hours / employee</x:v>
      </x:c>
      <x:c r="B14" s="84" t="n">
        <x:v>0</x:v>
      </x:c>
      <x:c r="E14" s="87" t="str">
        <x:v>Vehicle mileage allowance</x:v>
      </x:c>
      <x:c r="F14" s="94" t="str">
        <x:f>IF(OR(F27="READY TO REVIEW",F27="REVIEW SETTINGS"),ROUND(B15*SETTINGS!$B$11,2),"")</x:f>
      </x:c>
    </x:row>
    <x:row r="15" ht="26" customHeight="1">
      <x:c r="A15" s="87" t="str">
        <x:v>Roundtrip travel distance (km)</x:v>
      </x:c>
      <x:c r="B15" s="84" t="n">
        <x:v>0</x:v>
      </x:c>
      <x:c r="E15" s="87" t="str">
        <x:v>Overhead allocation</x:v>
      </x:c>
      <x:c r="F15" s="94" t="str">
        <x:f>IF(OR(F27="READY TO REVIEW",F27="REVIEW SETTINGS"),ROUND(SETTINGS!$B$12+B17,2),"")</x:f>
      </x:c>
    </x:row>
    <x:row r="16" ht="26" customHeight="1">
      <x:c r="A16" s="87" t="str">
        <x:v>Additional supply costs</x:v>
      </x:c>
      <x:c r="B16" s="78" t="n">
        <x:v>0</x:v>
      </x:c>
      <x:c r="E16" s="87" t="str">
        <x:v>Subtotal: direct operating cost</x:v>
      </x:c>
      <x:c r="F16" s="94" t="str">
        <x:f>IF(OR(F27="READY TO REVIEW",F27="REVIEW SETTINGS"),SUM(F12:F15),"")</x:f>
      </x:c>
    </x:row>
    <x:row r="17" ht="26" customHeight="1">
      <x:c r="A17" s="87" t="str">
        <x:v>Additional overhead costs</x:v>
      </x:c>
      <x:c r="B17" s="78" t="n">
        <x:v>0</x:v>
      </x:c>
      <x:c r="E17" s="87" t="str">
        <x:v>Contingency allowance</x:v>
      </x:c>
      <x:c r="F17" s="94" t="str">
        <x:f>IF(OR(F27="READY TO REVIEW",F27="REVIEW SETTINGS"),ROUND(F16*SETTINGS!$B$13,2),"")</x:f>
      </x:c>
    </x:row>
    <x:row r="18" ht="26" customHeight="1">
      <x:c r="A18" s="87" t="str">
        <x:v>Discount on list price</x:v>
      </x:c>
      <x:c r="B18" s="78" t="n">
        <x:v>0</x:v>
      </x:c>
      <x:c r="E18" s="87" t="str">
        <x:v>Total modeled job cost</x:v>
      </x:c>
      <x:c r="F18" s="94" t="str">
        <x:f>IF(OR(F27="READY TO REVIEW",F27="REVIEW SETTINGS"),SUM(F16:F17),"")</x:f>
      </x:c>
    </x:row>
    <x:row r="19" ht="26" customHeight="1">
      <x:c r="A19" s="87" t="str">
        <x:v>Tax rate override (optional)</x:v>
      </x:c>
      <x:c r="B19" s="80"/>
      <x:c r="E19" s="87" t="str">
        <x:v>List price before discount</x:v>
      </x:c>
      <x:c r="F19" s="94" t="str">
        <x:f>IF(OR(F27="READY TO REVIEW",F27="REVIEW SETTINGS"),MAX(ROUNDUP((F18/(1-SETTINGS!$B$14-SETTINGS!$B$15)+B18)/SETTINGS!$B$17,0)*SETTINGS!$B$17,ROUNDUP((SETTINGS!$B$16+B18)/SETTINGS!$B$17,0)*SETTINGS!$B$17),"")</x:f>
      </x:c>
    </x:row>
    <x:row r="20" ht="26" customHeight="1">
      <x:c r="A20" s="87" t="str">
        <x:v>Customer / project display label</x:v>
      </x:c>
      <x:c r="B20" s="74" t="str"/>
      <x:c r="E20" s="87" t="str">
        <x:v>Discount</x:v>
      </x:c>
      <x:c r="F20" s="94" t="str">
        <x:f>IF(OR(F27="READY TO REVIEW",F27="REVIEW SETTINGS"),B18,"")</x:f>
      </x:c>
    </x:row>
    <x:row r="21" ht="26" customHeight="1">
      <x:c r="A21" s="87" t="str">
        <x:v>Customer quote date (YYYY-MM-DD)</x:v>
      </x:c>
      <x:c r="B21" s="74" t="str"/>
      <x:c r="E21" s="87" t="str">
        <x:v>Price to customer before sales tax</x:v>
      </x:c>
      <x:c r="F21" s="94" t="str">
        <x:f>IF(OR(F27="READY TO REVIEW",F27="REVIEW SETTINGS"),F19-F20,"")</x:f>
      </x:c>
    </x:row>
    <x:row r="22" ht="26" customHeight="1">
      <x:c r="E22" s="87" t="str">
        <x:v>Estimated sales tax</x:v>
      </x:c>
      <x:c r="F22" s="94" t="str">
        <x:f>IF(OR(F27="READY TO REVIEW",F27="REVIEW SETTINGS"),ROUND(F21*IF(B19="",SETTINGS!$B$18,B19),2),"")</x:f>
      </x:c>
    </x:row>
    <x:row r="23" ht="23" customHeight="1">
      <x:c r="E23" s="16" t="str">
        <x:v>Total customer quote (incl. tax)</x:v>
      </x:c>
      <x:c r="F23" s="100" t="str">
        <x:f>IF(OR(F27="READY TO REVIEW",F27="REVIEW SETTINGS"),F21+F22,"")</x:f>
      </x:c>
    </x:row>
    <x:row r="24" ht="30" customHeight="1">
      <x:c r="A24" s="45" t="str">
        <x:v>Hours are per employee; total paid hours = crew × (on-site + paid travel). Contribution excludes taxes, ad costs, debt service, owner drawings and unentered business expenses. Verify all charges and assumptions.</x:v>
      </x:c>
      <x:c r="B24" s="45"/>
      <x:c r="C24" s="45"/>
      <x:c r="E24" s="87" t="str">
        <x:v>Estimated payment fees</x:v>
      </x:c>
      <x:c r="F24" s="94" t="str">
        <x:f>IF(OR(F27="READY TO REVIEW",F27="REVIEW SETTINGS"),ROUND(F21*SETTINGS!$B$15,2),"")</x:f>
      </x:c>
    </x:row>
    <x:row r="25" ht="30" customHeight="1">
      <x:c r="A25" s="45"/>
      <x:c r="B25" s="45"/>
      <x:c r="C25" s="45"/>
      <x:c r="E25" s="16" t="str">
        <x:v>Estimated contribution (before income tax)</x:v>
      </x:c>
      <x:c r="F25" s="100" t="str">
        <x:f>IF(OR(F27="READY TO REVIEW",F27="REVIEW SETTINGS"),F21-F18-F24,"")</x:f>
      </x:c>
    </x:row>
    <x:row r="26" ht="30" customHeight="1">
      <x:c r="A26" s="45"/>
      <x:c r="B26" s="45"/>
      <x:c r="C26" s="45"/>
      <x:c r="E26" s="16" t="str">
        <x:v>Contribution margin (after modeled costs)</x:v>
      </x:c>
      <x:c r="F26" s="105" t="str">
        <x:f>IF(OR(F27="READY TO REVIEW",F27="REVIEW SETTINGS"),IF(F21&gt;0,F25/F21,0),"")</x:f>
      </x:c>
    </x:row>
    <x:row r="27" ht="23" customHeight="1">
      <x:c r="E27" s="110" t="str">
        <x:v>STATUS / seller review gate</x:v>
      </x:c>
      <x:c r="F27" s="110" t="str">
        <x:f>IF(B11="","SELECT SERVICE",IF(COUNTIF(SERVICES!$A$9:$A$15,B11)=0,"INVALID SERVICE",IF(OR(B12&lt;1,B12&lt;&gt;INT(B12),AND(B13&lt;&gt;"",B13&lt;=0),B14&lt;0,B15&lt;0,B16&lt;0,B17&lt;0,B18&lt;0,AND(B19&lt;&gt;"",OR(B19&lt;0,B19&gt;1)),SETTINGS!$B$14+SETTINGS!$B$15&gt;=1,SETTINGS!$B$17&lt;=0,SETTINGS!$B$16&lt;0),"CHECK INPUTS",IF(SETTINGS!$B$23&lt;&gt;"READY","REVIEW SETTINGS","READY TO REVIEW"))))</x:f>
        <x:v>SELECT SERVICE</x:v>
      </x:c>
    </x:row>
  </x:sheetData>
  <x:mergeCells>
    <x:mergeCell ref="A1:I2"/>
    <x:mergeCell ref="A4:I5"/>
    <x:mergeCell ref="A24:C26"/>
  </x:mergeCells>
  <x:dataValidations count="1">
    <x:dataValidation type="list" sqref="B11">
      <x:formula1>"Standard home cleaning,Deep home cleaning,Move-in / move-out,Small office cleaning,Apartment turnover,Recurring maintenance,Interior window cleaning"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7" hidden="0" customWidth="1"/>
    <x:col min="4" max="4" width="18" hidden="0" customWidth="1"/>
    <x:col min="5" max="5" width="20" hidden="0" customWidth="1"/>
    <x:col min="6" max="6" width="21" hidden="0" customWidth="1"/>
    <x:col min="7" max="7" width="16" hidden="0" customWidth="1"/>
    <x:col min="8" max="8" width="18" hidden="0" customWidth="1"/>
  </x:cols>
  <x:sheetData>
    <x:row r="1" ht="27" customHeight="1">
      <x:c r="A1" s="115" t="str">
        <x:v>CUSTOMER QUOTE  /  DRAFT FOR REVIEW</x:v>
      </x:c>
      <x:c r="B1" s="115"/>
      <x:c r="C1" s="115"/>
      <x:c r="D1" s="115"/>
      <x:c r="E1" s="115"/>
      <x:c r="F1" s="115"/>
      <x:c r="G1" s="115"/>
      <x:c r="H1" s="115"/>
    </x:row>
    <x:row r="2" ht="27" customHeight="1">
      <x:c r="A2" s="115"/>
      <x:c r="B2" s="115"/>
      <x:c r="C2" s="115"/>
      <x:c r="D2" s="115"/>
      <x:c r="E2" s="115"/>
      <x:c r="F2" s="115"/>
      <x:c r="G2" s="115"/>
      <x:c r="H2" s="115"/>
    </x:row>
    <x:row r="3" ht="27" customHeight="1">
      <x:c r="A3" s="115"/>
      <x:c r="B3" s="115"/>
      <x:c r="C3" s="115"/>
      <x:c r="D3" s="115"/>
      <x:c r="E3" s="115"/>
      <x:c r="F3" s="115"/>
      <x:c r="G3" s="115"/>
      <x:c r="H3" s="115"/>
    </x:row>
    <x:row r="5" ht="32" customHeight="1">
      <x:c r="A5" s="118" t="str">
        <x:f>SETTINGS!B20</x:f>
        <x:v>YOUR BUSINESS NAME</x:v>
      </x:c>
      <x:c r="B5" s="118"/>
      <x:c r="C5" s="118"/>
      <x:c r="D5" s="118"/>
      <x:c r="E5" s="118"/>
      <x:c r="F5" s="118"/>
      <x:c r="G5" s="118"/>
      <x:c r="H5" s="118"/>
    </x:row>
    <x:row r="6" ht="25" customHeight="1">
      <x:c r="A6" s="66" t="str">
        <x:f>SETTINGS!B21</x:f>
        <x:v>support@example.com</x:v>
      </x:c>
      <x:c r="B6" s="66"/>
      <x:c r="C6" s="66"/>
      <x:c r="D6" s="66"/>
      <x:c r="E6" s="66"/>
      <x:c r="F6" s="66"/>
      <x:c r="G6" s="66"/>
      <x:c r="H6" s="66"/>
    </x:row>
    <x:row r="9" ht="30" customHeight="1">
      <x:c r="A9" s="120" t="str">
        <x:v>Quote ID</x:v>
      </x:c>
      <x:c r="B9" s="120"/>
      <x:c r="C9" s="122" t="n">
        <x:f>'QUICK QUOTE'!B10</x:f>
        <x:v>0</x:v>
      </x:c>
      <x:c r="D9" s="122"/>
      <x:c r="E9" s="122"/>
      <x:c r="F9" s="122"/>
    </x:row>
    <x:row r="10" ht="30" customHeight="1">
      <x:c r="A10" s="120" t="str">
        <x:v>Date</x:v>
      </x:c>
      <x:c r="B10" s="120"/>
      <x:c r="C10" s="122" t="n">
        <x:f>'QUICK QUOTE'!B21</x:f>
        <x:v>0</x:v>
      </x:c>
      <x:c r="D10" s="122"/>
      <x:c r="E10" s="122"/>
      <x:c r="F10" s="122"/>
    </x:row>
    <x:row r="11" ht="30" customHeight="1">
      <x:c r="A11" s="120" t="str">
        <x:v>Customer / project</x:v>
      </x:c>
      <x:c r="B11" s="120"/>
      <x:c r="C11" s="122" t="n">
        <x:f>'QUICK QUOTE'!B20</x:f>
        <x:v>0</x:v>
      </x:c>
      <x:c r="D11" s="122"/>
      <x:c r="E11" s="122"/>
      <x:c r="F11" s="122"/>
    </x:row>
    <x:row r="13" ht="30" customHeight="1">
      <x:c r="A13" s="120" t="str">
        <x:v>Cleaning service</x:v>
      </x:c>
      <x:c r="B13" s="120"/>
      <x:c r="C13" s="122" t="n">
        <x:f>'QUICK QUOTE'!B11</x:f>
        <x:v>0</x:v>
      </x:c>
      <x:c r="D13" s="122"/>
      <x:c r="E13" s="122"/>
      <x:c r="F13" s="122"/>
    </x:row>
    <x:row r="14" ht="30" customHeight="1">
      <x:c r="A14" s="120" t="str">
        <x:v>Crew size</x:v>
      </x:c>
      <x:c r="B14" s="120"/>
      <x:c r="C14" s="122" t="n">
        <x:f>'QUICK QUOTE'!B12</x:f>
        <x:v>1</x:v>
      </x:c>
      <x:c r="D14" s="122"/>
      <x:c r="E14" s="122"/>
      <x:c r="F14" s="122"/>
    </x:row>
    <x:row r="17" ht="34" customHeight="1">
      <x:c r="A17" s="58" t="str">
        <x:v>Service / adjustment</x:v>
      </x:c>
      <x:c r="B17" s="58"/>
      <x:c r="C17" s="58"/>
      <x:c r="D17" s="58"/>
      <x:c r="E17" s="58" t="str">
        <x:v>CAD ex tax</x:v>
      </x:c>
      <x:c r="F17" s="58" t="str"/>
    </x:row>
    <x:row r="18" ht="32" customHeight="1">
      <x:c r="A18" s="125" t="str">
        <x:v>Cleaning service (agreed scope)</x:v>
      </x:c>
      <x:c r="B18" s="125"/>
      <x:c r="C18" s="125"/>
      <x:c r="D18" s="125"/>
      <x:c r="E18" s="128" t="str">
        <x:f>IF('QUICK QUOTE'!F27="READY TO REVIEW",'QUICK QUOTE'!F19,"")</x:f>
      </x:c>
      <x:c r="F18" s="125"/>
    </x:row>
    <x:row r="19" ht="32" customHeight="1">
      <x:c r="A19" s="125" t="str">
        <x:v>Discount</x:v>
      </x:c>
      <x:c r="B19" s="125"/>
      <x:c r="C19" s="125"/>
      <x:c r="D19" s="125"/>
      <x:c r="E19" s="128" t="str">
        <x:f>IF('QUICK QUOTE'!F27="READY TO REVIEW",-'QUICK QUOTE'!F20,"")</x:f>
      </x:c>
      <x:c r="F19" s="125"/>
    </x:row>
    <x:row r="20" ht="32" customHeight="1">
      <x:c r="A20" s="125" t="str">
        <x:v>Total before sales tax</x:v>
      </x:c>
      <x:c r="B20" s="125"/>
      <x:c r="C20" s="125"/>
      <x:c r="D20" s="125"/>
      <x:c r="E20" s="128" t="str">
        <x:f>IF('QUICK QUOTE'!F27="READY TO REVIEW",'QUICK QUOTE'!F21,"")</x:f>
      </x:c>
      <x:c r="F20" s="125"/>
    </x:row>
    <x:row r="21" ht="32" customHeight="1">
      <x:c r="A21" s="125" t="str">
        <x:v>Estimated applicable sales tax</x:v>
      </x:c>
      <x:c r="B21" s="125"/>
      <x:c r="C21" s="125"/>
      <x:c r="D21" s="125"/>
      <x:c r="E21" s="128" t="str">
        <x:f>IF('QUICK QUOTE'!F27="READY TO REVIEW",'QUICK QUOTE'!F22,"")</x:f>
      </x:c>
      <x:c r="F21" s="125"/>
    </x:row>
    <x:row r="22" ht="23" customHeight="1">
      <x:c r="A22" s="16" t="str">
        <x:v>TOTAL CUSTOMER QUOTE</x:v>
      </x:c>
      <x:c r="B22" s="16"/>
      <x:c r="C22" s="16"/>
      <x:c r="D22" s="16"/>
      <x:c r="E22" s="100" t="str">
        <x:f>IF('QUICK QUOTE'!F27="READY TO REVIEW",'QUICK QUOTE'!F23,"")</x:f>
      </x:c>
      <x:c r="F22" s="16"/>
    </x:row>
    <x:row r="25" ht="30" customHeight="1">
      <x:c r="A25" s="45" t="str">
        <x:v>DRAFT QUOTE. NOT AN INVOICE OR A GUARANTEED CONTRACT. Confirm scope, exclusions, cancellation, date, tax obligations and validity before sending. Never send if QUICK QUOTE status is not READY TO REVIEW.</x:v>
      </x:c>
      <x:c r="B25" s="45"/>
      <x:c r="C25" s="45"/>
      <x:c r="D25" s="45"/>
      <x:c r="E25" s="45"/>
      <x:c r="F25" s="45"/>
      <x:c r="G25" s="45"/>
      <x:c r="H25" s="45"/>
    </x:row>
    <x:row r="26" ht="30" customHeight="1">
      <x:c r="A26" s="45"/>
      <x:c r="B26" s="45"/>
      <x:c r="C26" s="45"/>
      <x:c r="D26" s="45"/>
      <x:c r="E26" s="45"/>
      <x:c r="F26" s="45"/>
      <x:c r="G26" s="45"/>
      <x:c r="H26" s="45"/>
    </x:row>
  </x:sheetData>
  <x:mergeCells>
    <x:mergeCell ref="A1:H3"/>
    <x:mergeCell ref="A5:H5"/>
    <x:mergeCell ref="A6:H6"/>
    <x:mergeCell ref="C9:F9"/>
    <x:mergeCell ref="C10:F10"/>
    <x:mergeCell ref="C11:F11"/>
    <x:mergeCell ref="C13:F13"/>
    <x:mergeCell ref="C14:F14"/>
    <x:mergeCell ref="A18:D18"/>
    <x:mergeCell ref="A19:D19"/>
    <x:mergeCell ref="A20:D20"/>
    <x:mergeCell ref="A21:D21"/>
    <x:mergeCell ref="A22:D22"/>
    <x:mergeCell ref="A25:H2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14" hidden="0" customWidth="1"/>
    <x:col min="2" max="2" width="29" hidden="0" customWidth="1"/>
    <x:col min="3" max="3" width="11" hidden="0" customWidth="1"/>
    <x:col min="4" max="4" width="15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3" hidden="0" customWidth="1"/>
    <x:col min="17" max="17" width="19" hidden="0" customWidth="1"/>
  </x:cols>
  <x:sheetData>
    <x:row r="1" ht="28" customHeight="1">
      <x:c r="A1" s="53" t="str">
        <x:v>SCENARIO PLANNER  /  COMPARE UP TO 25 QUOTES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</x:row>
    <x:row r="2" ht="28" customHeight="1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</x:row>
    <x:row r="4" ht="30" customHeight="1">
      <x:c r="A4" s="45" t="str">
        <x:v>Edit blue columns A–I, including a job ID and exact service name. Every row calculates individually; blank ID rows remain blank. Results use SETTINGS and SERVICES. Dates and taxes are not automatically researched.</x:v>
      </x:c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  <x:c r="O4" s="45"/>
      <x:c r="P4" s="45"/>
      <x:c r="Q4" s="45"/>
    </x:row>
    <x:row r="5" ht="30" customHeight="1">
      <x:c r="A5" s="45"/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45"/>
    </x:row>
    <x:row r="9" ht="34" customHeight="1">
      <x:c r="A9" s="58" t="str">
        <x:v>Job ID</x:v>
      </x:c>
      <x:c r="B9" s="58" t="str">
        <x:v>Service</x:v>
      </x:c>
      <x:c r="C9" s="58" t="str">
        <x:v>Crew</x:v>
      </x:c>
      <x:c r="D9" s="58" t="str">
        <x:v>On-site override h / person</x:v>
      </x:c>
      <x:c r="E9" s="58" t="str">
        <x:v>Paid travel h / person</x:v>
      </x:c>
      <x:c r="F9" s="58" t="str">
        <x:v>Roundtrip km</x:v>
      </x:c>
      <x:c r="G9" s="58" t="str">
        <x:v>Extra supplies CAD</x:v>
      </x:c>
      <x:c r="H9" s="58" t="str">
        <x:v>Extra overhead CAD</x:v>
      </x:c>
      <x:c r="I9" s="58" t="str">
        <x:v>Discount CAD</x:v>
      </x:c>
      <x:c r="J9" s="58" t="str">
        <x:v>On-site hours / person</x:v>
      </x:c>
      <x:c r="K9" s="58" t="str">
        <x:v>Modeled job cost CAD</x:v>
      </x:c>
      <x:c r="L9" s="58" t="str">
        <x:v>List price CAD</x:v>
      </x:c>
      <x:c r="M9" s="58" t="str">
        <x:v>Quote ex tax CAD</x:v>
      </x:c>
      <x:c r="N9" s="58" t="str">
        <x:v>Quote incl tax CAD</x:v>
      </x:c>
      <x:c r="O9" s="58" t="str">
        <x:v>Est contribution CAD</x:v>
      </x:c>
      <x:c r="P9" s="58" t="str">
        <x:v>Margin %</x:v>
      </x:c>
      <x:c r="Q9" s="58" t="str">
        <x:v>STATUS</x:v>
      </x:c>
    </x:row>
    <x:row r="10" ht="25" customHeight="1">
      <x:c r="A10" s="74"/>
      <x:c r="B10" s="74"/>
      <x:c r="C10" s="74"/>
      <x:c r="D10" s="74"/>
      <x:c r="E10" s="74"/>
      <x:c r="F10" s="74"/>
      <x:c r="G10" s="74"/>
      <x:c r="H10" s="74"/>
      <x:c r="I10" s="74"/>
      <x:c r="J10" s="63" t="str">
        <x:f>IF(OR(Q10="READY",Q10="REVIEW SETTINGS"),IF(D10="",IFERROR(VLOOKUP(B10,SERVICES!$A$9:$C$15,2,FALSE),0),D10),"")</x:f>
      </x:c>
      <x:c r="K10" s="132" t="str">
        <x:f>IF(OR(Q10="READY",Q10="REVIEW SETTINGS"),ROUND((ROUND(C10*(J10+E10)*SETTINGS!$B$10,2)+ROUND(IFERROR(VLOOKUP(B10,SERVICES!$A$9:$C$15,3,FALSE),0)+G10,2)+ROUND(F10*SETTINGS!$B$11,2)+ROUND(SETTINGS!$B$12+H10,2))+ROUND((ROUND(C10*(J10+E10)*SETTINGS!$B$10,2)+ROUND(IFERROR(VLOOKUP(B10,SERVICES!$A$9:$C$15,3,FALSE),0)+G10,2)+ROUND(F10*SETTINGS!$B$11,2)+ROUND(SETTINGS!$B$12+H10,2))*SETTINGS!$B$13,2),2),"")</x:f>
      </x:c>
      <x:c r="L10" s="132" t="str">
        <x:f>IF(OR(Q10="READY",Q10="REVIEW SETTINGS"),MAX(ROUNDUP((K10/(1-SETTINGS!$B$14-SETTINGS!$B$15)+I10)/SETTINGS!$B$17,0)*SETTINGS!$B$17,ROUNDUP((SETTINGS!$B$16+I10)/SETTINGS!$B$17,0)*SETTINGS!$B$17),"")</x:f>
      </x:c>
      <x:c r="M10" s="132" t="str">
        <x:f>IF(OR(Q10="READY",Q10="REVIEW SETTINGS"),L10-I10,"")</x:f>
      </x:c>
      <x:c r="N10" s="132" t="str">
        <x:f>IF(OR(Q10="READY",Q10="REVIEW SETTINGS"),M10+ROUND(M10*SETTINGS!$B$18,2),"")</x:f>
      </x:c>
      <x:c r="O10" s="132" t="str">
        <x:f>IF(OR(Q10="READY",Q10="REVIEW SETTINGS"),M10-K10-ROUND(M10*SETTINGS!$B$15,2),"")</x:f>
      </x:c>
      <x:c r="P10" s="134" t="str">
        <x:f>IF(OR(Q10="READY",Q10="REVIEW SETTINGS"),IF(M10&gt;0,O10/M10,0),"")</x:f>
      </x:c>
      <x:c r="Q10" s="63" t="str">
        <x:f>IF(A10="","",IF(COUNTIF(SERVICES!$A$9:$A$15,B10)=0,"CHECK SERVICE",IF(OR(C10&lt;1,C10&lt;&gt;INT(C10),AND(D10&lt;&gt;"",D10&lt;=0),E10&lt;0,F10&lt;0,G10&lt;0,H10&lt;0,I10&lt;0,SETTINGS!$B$14+SETTINGS!$B$15&gt;=1,SETTINGS!$B$17&lt;=0),"CHECK INPUTS",IF(SETTINGS!$B$23&lt;&gt;"READY","REVIEW SETTINGS","READY"))))</x:f>
      </x:c>
    </x:row>
    <x:row r="11" ht="25" customHeight="1">
      <x:c r="A11" s="74"/>
      <x:c r="B11" s="74"/>
      <x:c r="C11" s="74"/>
      <x:c r="D11" s="74"/>
      <x:c r="E11" s="74"/>
      <x:c r="F11" s="74"/>
      <x:c r="G11" s="74"/>
      <x:c r="H11" s="74"/>
      <x:c r="I11" s="74"/>
      <x:c r="J11" s="63" t="str">
        <x:f>IF(OR(Q11="READY",Q11="REVIEW SETTINGS"),IF(D11="",IFERROR(VLOOKUP(B11,SERVICES!$A$9:$C$15,2,FALSE),0),D11),"")</x:f>
      </x:c>
      <x:c r="K11" s="132" t="str">
        <x:f>IF(OR(Q11="READY",Q11="REVIEW SETTINGS"),ROUND((ROUND(C11*(J11+E11)*SETTINGS!$B$10,2)+ROUND(IFERROR(VLOOKUP(B11,SERVICES!$A$9:$C$15,3,FALSE),0)+G11,2)+ROUND(F11*SETTINGS!$B$11,2)+ROUND(SETTINGS!$B$12+H11,2))+ROUND((ROUND(C11*(J11+E11)*SETTINGS!$B$10,2)+ROUND(IFERROR(VLOOKUP(B11,SERVICES!$A$9:$C$15,3,FALSE),0)+G11,2)+ROUND(F11*SETTINGS!$B$11,2)+ROUND(SETTINGS!$B$12+H11,2))*SETTINGS!$B$13,2),2),"")</x:f>
      </x:c>
      <x:c r="L11" s="132" t="str">
        <x:f>IF(OR(Q11="READY",Q11="REVIEW SETTINGS"),MAX(ROUNDUP((K11/(1-SETTINGS!$B$14-SETTINGS!$B$15)+I11)/SETTINGS!$B$17,0)*SETTINGS!$B$17,ROUNDUP((SETTINGS!$B$16+I11)/SETTINGS!$B$17,0)*SETTINGS!$B$17),"")</x:f>
      </x:c>
      <x:c r="M11" s="132" t="str">
        <x:f>IF(OR(Q11="READY",Q11="REVIEW SETTINGS"),L11-I11,"")</x:f>
      </x:c>
      <x:c r="N11" s="132" t="str">
        <x:f>IF(OR(Q11="READY",Q11="REVIEW SETTINGS"),M11+ROUND(M11*SETTINGS!$B$18,2),"")</x:f>
      </x:c>
      <x:c r="O11" s="132" t="str">
        <x:f>IF(OR(Q11="READY",Q11="REVIEW SETTINGS"),M11-K11-ROUND(M11*SETTINGS!$B$15,2),"")</x:f>
      </x:c>
      <x:c r="P11" s="134" t="str">
        <x:f>IF(OR(Q11="READY",Q11="REVIEW SETTINGS"),IF(M11&gt;0,O11/M11,0),"")</x:f>
      </x:c>
      <x:c r="Q11" s="63" t="str">
        <x:f>IF(A11="","",IF(COUNTIF(SERVICES!$A$9:$A$15,B11)=0,"CHECK SERVICE",IF(OR(C11&lt;1,C11&lt;&gt;INT(C11),AND(D11&lt;&gt;"",D11&lt;=0),E11&lt;0,F11&lt;0,G11&lt;0,H11&lt;0,I11&lt;0,SETTINGS!$B$14+SETTINGS!$B$15&gt;=1,SETTINGS!$B$17&lt;=0),"CHECK INPUTS",IF(SETTINGS!$B$23&lt;&gt;"READY","REVIEW SETTINGS","READY"))))</x:f>
      </x:c>
    </x:row>
    <x:row r="12" ht="25" customHeight="1">
      <x:c r="A12" s="74"/>
      <x:c r="B12" s="74"/>
      <x:c r="C12" s="74"/>
      <x:c r="D12" s="74"/>
      <x:c r="E12" s="74"/>
      <x:c r="F12" s="74"/>
      <x:c r="G12" s="74"/>
      <x:c r="H12" s="74"/>
      <x:c r="I12" s="74"/>
      <x:c r="J12" s="63" t="str">
        <x:f>IF(OR(Q12="READY",Q12="REVIEW SETTINGS"),IF(D12="",IFERROR(VLOOKUP(B12,SERVICES!$A$9:$C$15,2,FALSE),0),D12),"")</x:f>
      </x:c>
      <x:c r="K12" s="132" t="str">
        <x:f>IF(OR(Q12="READY",Q12="REVIEW SETTINGS"),ROUND((ROUND(C12*(J12+E12)*SETTINGS!$B$10,2)+ROUND(IFERROR(VLOOKUP(B12,SERVICES!$A$9:$C$15,3,FALSE),0)+G12,2)+ROUND(F12*SETTINGS!$B$11,2)+ROUND(SETTINGS!$B$12+H12,2))+ROUND((ROUND(C12*(J12+E12)*SETTINGS!$B$10,2)+ROUND(IFERROR(VLOOKUP(B12,SERVICES!$A$9:$C$15,3,FALSE),0)+G12,2)+ROUND(F12*SETTINGS!$B$11,2)+ROUND(SETTINGS!$B$12+H12,2))*SETTINGS!$B$13,2),2),"")</x:f>
      </x:c>
      <x:c r="L12" s="132" t="str">
        <x:f>IF(OR(Q12="READY",Q12="REVIEW SETTINGS"),MAX(ROUNDUP((K12/(1-SETTINGS!$B$14-SETTINGS!$B$15)+I12)/SETTINGS!$B$17,0)*SETTINGS!$B$17,ROUNDUP((SETTINGS!$B$16+I12)/SETTINGS!$B$17,0)*SETTINGS!$B$17),"")</x:f>
      </x:c>
      <x:c r="M12" s="132" t="str">
        <x:f>IF(OR(Q12="READY",Q12="REVIEW SETTINGS"),L12-I12,"")</x:f>
      </x:c>
      <x:c r="N12" s="132" t="str">
        <x:f>IF(OR(Q12="READY",Q12="REVIEW SETTINGS"),M12+ROUND(M12*SETTINGS!$B$18,2),"")</x:f>
      </x:c>
      <x:c r="O12" s="132" t="str">
        <x:f>IF(OR(Q12="READY",Q12="REVIEW SETTINGS"),M12-K12-ROUND(M12*SETTINGS!$B$15,2),"")</x:f>
      </x:c>
      <x:c r="P12" s="134" t="str">
        <x:f>IF(OR(Q12="READY",Q12="REVIEW SETTINGS"),IF(M12&gt;0,O12/M12,0),"")</x:f>
      </x:c>
      <x:c r="Q12" s="63" t="str">
        <x:f>IF(A12="","",IF(COUNTIF(SERVICES!$A$9:$A$15,B12)=0,"CHECK SERVICE",IF(OR(C12&lt;1,C12&lt;&gt;INT(C12),AND(D12&lt;&gt;"",D12&lt;=0),E12&lt;0,F12&lt;0,G12&lt;0,H12&lt;0,I12&lt;0,SETTINGS!$B$14+SETTINGS!$B$15&gt;=1,SETTINGS!$B$17&lt;=0),"CHECK INPUTS",IF(SETTINGS!$B$23&lt;&gt;"READY","REVIEW SETTINGS","READY"))))</x:f>
      </x:c>
    </x:row>
    <x:row r="13" ht="25" customHeight="1">
      <x:c r="A13" s="74"/>
      <x:c r="B13" s="74"/>
      <x:c r="C13" s="74"/>
      <x:c r="D13" s="74"/>
      <x:c r="E13" s="74"/>
      <x:c r="F13" s="74"/>
      <x:c r="G13" s="74"/>
      <x:c r="H13" s="74"/>
      <x:c r="I13" s="74"/>
      <x:c r="J13" s="63" t="str">
        <x:f>IF(OR(Q13="READY",Q13="REVIEW SETTINGS"),IF(D13="",IFERROR(VLOOKUP(B13,SERVICES!$A$9:$C$15,2,FALSE),0),D13),"")</x:f>
      </x:c>
      <x:c r="K13" s="132" t="str">
        <x:f>IF(OR(Q13="READY",Q13="REVIEW SETTINGS"),ROUND((ROUND(C13*(J13+E13)*SETTINGS!$B$10,2)+ROUND(IFERROR(VLOOKUP(B13,SERVICES!$A$9:$C$15,3,FALSE),0)+G13,2)+ROUND(F13*SETTINGS!$B$11,2)+ROUND(SETTINGS!$B$12+H13,2))+ROUND((ROUND(C13*(J13+E13)*SETTINGS!$B$10,2)+ROUND(IFERROR(VLOOKUP(B13,SERVICES!$A$9:$C$15,3,FALSE),0)+G13,2)+ROUND(F13*SETTINGS!$B$11,2)+ROUND(SETTINGS!$B$12+H13,2))*SETTINGS!$B$13,2),2),"")</x:f>
      </x:c>
      <x:c r="L13" s="132" t="str">
        <x:f>IF(OR(Q13="READY",Q13="REVIEW SETTINGS"),MAX(ROUNDUP((K13/(1-SETTINGS!$B$14-SETTINGS!$B$15)+I13)/SETTINGS!$B$17,0)*SETTINGS!$B$17,ROUNDUP((SETTINGS!$B$16+I13)/SETTINGS!$B$17,0)*SETTINGS!$B$17),"")</x:f>
      </x:c>
      <x:c r="M13" s="132" t="str">
        <x:f>IF(OR(Q13="READY",Q13="REVIEW SETTINGS"),L13-I13,"")</x:f>
      </x:c>
      <x:c r="N13" s="132" t="str">
        <x:f>IF(OR(Q13="READY",Q13="REVIEW SETTINGS"),M13+ROUND(M13*SETTINGS!$B$18,2),"")</x:f>
      </x:c>
      <x:c r="O13" s="132" t="str">
        <x:f>IF(OR(Q13="READY",Q13="REVIEW SETTINGS"),M13-K13-ROUND(M13*SETTINGS!$B$15,2),"")</x:f>
      </x:c>
      <x:c r="P13" s="134" t="str">
        <x:f>IF(OR(Q13="READY",Q13="REVIEW SETTINGS"),IF(M13&gt;0,O13/M13,0),"")</x:f>
      </x:c>
      <x:c r="Q13" s="63" t="str">
        <x:f>IF(A13="","",IF(COUNTIF(SERVICES!$A$9:$A$15,B13)=0,"CHECK SERVICE",IF(OR(C13&lt;1,C13&lt;&gt;INT(C13),AND(D13&lt;&gt;"",D13&lt;=0),E13&lt;0,F13&lt;0,G13&lt;0,H13&lt;0,I13&lt;0,SETTINGS!$B$14+SETTINGS!$B$15&gt;=1,SETTINGS!$B$17&lt;=0),"CHECK INPUTS",IF(SETTINGS!$B$23&lt;&gt;"READY","REVIEW SETTINGS","READY"))))</x:f>
      </x:c>
    </x:row>
    <x:row r="14" ht="25" customHeight="1">
      <x:c r="A14" s="74"/>
      <x:c r="B14" s="74"/>
      <x:c r="C14" s="74"/>
      <x:c r="D14" s="74"/>
      <x:c r="E14" s="74"/>
      <x:c r="F14" s="74"/>
      <x:c r="G14" s="74"/>
      <x:c r="H14" s="74"/>
      <x:c r="I14" s="74"/>
      <x:c r="J14" s="63" t="str">
        <x:f>IF(OR(Q14="READY",Q14="REVIEW SETTINGS"),IF(D14="",IFERROR(VLOOKUP(B14,SERVICES!$A$9:$C$15,2,FALSE),0),D14),"")</x:f>
      </x:c>
      <x:c r="K14" s="132" t="str">
        <x:f>IF(OR(Q14="READY",Q14="REVIEW SETTINGS"),ROUND((ROUND(C14*(J14+E14)*SETTINGS!$B$10,2)+ROUND(IFERROR(VLOOKUP(B14,SERVICES!$A$9:$C$15,3,FALSE),0)+G14,2)+ROUND(F14*SETTINGS!$B$11,2)+ROUND(SETTINGS!$B$12+H14,2))+ROUND((ROUND(C14*(J14+E14)*SETTINGS!$B$10,2)+ROUND(IFERROR(VLOOKUP(B14,SERVICES!$A$9:$C$15,3,FALSE),0)+G14,2)+ROUND(F14*SETTINGS!$B$11,2)+ROUND(SETTINGS!$B$12+H14,2))*SETTINGS!$B$13,2),2),"")</x:f>
      </x:c>
      <x:c r="L14" s="132" t="str">
        <x:f>IF(OR(Q14="READY",Q14="REVIEW SETTINGS"),MAX(ROUNDUP((K14/(1-SETTINGS!$B$14-SETTINGS!$B$15)+I14)/SETTINGS!$B$17,0)*SETTINGS!$B$17,ROUNDUP((SETTINGS!$B$16+I14)/SETTINGS!$B$17,0)*SETTINGS!$B$17),"")</x:f>
      </x:c>
      <x:c r="M14" s="132" t="str">
        <x:f>IF(OR(Q14="READY",Q14="REVIEW SETTINGS"),L14-I14,"")</x:f>
      </x:c>
      <x:c r="N14" s="132" t="str">
        <x:f>IF(OR(Q14="READY",Q14="REVIEW SETTINGS"),M14+ROUND(M14*SETTINGS!$B$18,2),"")</x:f>
      </x:c>
      <x:c r="O14" s="132" t="str">
        <x:f>IF(OR(Q14="READY",Q14="REVIEW SETTINGS"),M14-K14-ROUND(M14*SETTINGS!$B$15,2),"")</x:f>
      </x:c>
      <x:c r="P14" s="134" t="str">
        <x:f>IF(OR(Q14="READY",Q14="REVIEW SETTINGS"),IF(M14&gt;0,O14/M14,0),"")</x:f>
      </x:c>
      <x:c r="Q14" s="63" t="str">
        <x:f>IF(A14="","",IF(COUNTIF(SERVICES!$A$9:$A$15,B14)=0,"CHECK SERVICE",IF(OR(C14&lt;1,C14&lt;&gt;INT(C14),AND(D14&lt;&gt;"",D14&lt;=0),E14&lt;0,F14&lt;0,G14&lt;0,H14&lt;0,I14&lt;0,SETTINGS!$B$14+SETTINGS!$B$15&gt;=1,SETTINGS!$B$17&lt;=0),"CHECK INPUTS",IF(SETTINGS!$B$23&lt;&gt;"READY","REVIEW SETTINGS","READY"))))</x:f>
      </x:c>
    </x:row>
    <x:row r="15" ht="25" customHeight="1">
      <x:c r="A15" s="74"/>
      <x:c r="B15" s="74"/>
      <x:c r="C15" s="74"/>
      <x:c r="D15" s="74"/>
      <x:c r="E15" s="74"/>
      <x:c r="F15" s="74"/>
      <x:c r="G15" s="74"/>
      <x:c r="H15" s="74"/>
      <x:c r="I15" s="74"/>
      <x:c r="J15" s="63" t="str">
        <x:f>IF(OR(Q15="READY",Q15="REVIEW SETTINGS"),IF(D15="",IFERROR(VLOOKUP(B15,SERVICES!$A$9:$C$15,2,FALSE),0),D15),"")</x:f>
      </x:c>
      <x:c r="K15" s="132" t="str">
        <x:f>IF(OR(Q15="READY",Q15="REVIEW SETTINGS"),ROUND((ROUND(C15*(J15+E15)*SETTINGS!$B$10,2)+ROUND(IFERROR(VLOOKUP(B15,SERVICES!$A$9:$C$15,3,FALSE),0)+G15,2)+ROUND(F15*SETTINGS!$B$11,2)+ROUND(SETTINGS!$B$12+H15,2))+ROUND((ROUND(C15*(J15+E15)*SETTINGS!$B$10,2)+ROUND(IFERROR(VLOOKUP(B15,SERVICES!$A$9:$C$15,3,FALSE),0)+G15,2)+ROUND(F15*SETTINGS!$B$11,2)+ROUND(SETTINGS!$B$12+H15,2))*SETTINGS!$B$13,2),2),"")</x:f>
      </x:c>
      <x:c r="L15" s="132" t="str">
        <x:f>IF(OR(Q15="READY",Q15="REVIEW SETTINGS"),MAX(ROUNDUP((K15/(1-SETTINGS!$B$14-SETTINGS!$B$15)+I15)/SETTINGS!$B$17,0)*SETTINGS!$B$17,ROUNDUP((SETTINGS!$B$16+I15)/SETTINGS!$B$17,0)*SETTINGS!$B$17),"")</x:f>
      </x:c>
      <x:c r="M15" s="132" t="str">
        <x:f>IF(OR(Q15="READY",Q15="REVIEW SETTINGS"),L15-I15,"")</x:f>
      </x:c>
      <x:c r="N15" s="132" t="str">
        <x:f>IF(OR(Q15="READY",Q15="REVIEW SETTINGS"),M15+ROUND(M15*SETTINGS!$B$18,2),"")</x:f>
      </x:c>
      <x:c r="O15" s="132" t="str">
        <x:f>IF(OR(Q15="READY",Q15="REVIEW SETTINGS"),M15-K15-ROUND(M15*SETTINGS!$B$15,2),"")</x:f>
      </x:c>
      <x:c r="P15" s="134" t="str">
        <x:f>IF(OR(Q15="READY",Q15="REVIEW SETTINGS"),IF(M15&gt;0,O15/M15,0),"")</x:f>
      </x:c>
      <x:c r="Q15" s="63" t="str">
        <x:f>IF(A15="","",IF(COUNTIF(SERVICES!$A$9:$A$15,B15)=0,"CHECK SERVICE",IF(OR(C15&lt;1,C15&lt;&gt;INT(C15),AND(D15&lt;&gt;"",D15&lt;=0),E15&lt;0,F15&lt;0,G15&lt;0,H15&lt;0,I15&lt;0,SETTINGS!$B$14+SETTINGS!$B$15&gt;=1,SETTINGS!$B$17&lt;=0),"CHECK INPUTS",IF(SETTINGS!$B$23&lt;&gt;"READY","REVIEW SETTINGS","READY"))))</x:f>
      </x:c>
    </x:row>
    <x:row r="16" ht="25" customHeight="1">
      <x:c r="A16" s="74"/>
      <x:c r="B16" s="74"/>
      <x:c r="C16" s="74"/>
      <x:c r="D16" s="74"/>
      <x:c r="E16" s="74"/>
      <x:c r="F16" s="74"/>
      <x:c r="G16" s="74"/>
      <x:c r="H16" s="74"/>
      <x:c r="I16" s="74"/>
      <x:c r="J16" s="63" t="str">
        <x:f>IF(OR(Q16="READY",Q16="REVIEW SETTINGS"),IF(D16="",IFERROR(VLOOKUP(B16,SERVICES!$A$9:$C$15,2,FALSE),0),D16),"")</x:f>
      </x:c>
      <x:c r="K16" s="132" t="str">
        <x:f>IF(OR(Q16="READY",Q16="REVIEW SETTINGS"),ROUND((ROUND(C16*(J16+E16)*SETTINGS!$B$10,2)+ROUND(IFERROR(VLOOKUP(B16,SERVICES!$A$9:$C$15,3,FALSE),0)+G16,2)+ROUND(F16*SETTINGS!$B$11,2)+ROUND(SETTINGS!$B$12+H16,2))+ROUND((ROUND(C16*(J16+E16)*SETTINGS!$B$10,2)+ROUND(IFERROR(VLOOKUP(B16,SERVICES!$A$9:$C$15,3,FALSE),0)+G16,2)+ROUND(F16*SETTINGS!$B$11,2)+ROUND(SETTINGS!$B$12+H16,2))*SETTINGS!$B$13,2),2),"")</x:f>
      </x:c>
      <x:c r="L16" s="132" t="str">
        <x:f>IF(OR(Q16="READY",Q16="REVIEW SETTINGS"),MAX(ROUNDUP((K16/(1-SETTINGS!$B$14-SETTINGS!$B$15)+I16)/SETTINGS!$B$17,0)*SETTINGS!$B$17,ROUNDUP((SETTINGS!$B$16+I16)/SETTINGS!$B$17,0)*SETTINGS!$B$17),"")</x:f>
      </x:c>
      <x:c r="M16" s="132" t="str">
        <x:f>IF(OR(Q16="READY",Q16="REVIEW SETTINGS"),L16-I16,"")</x:f>
      </x:c>
      <x:c r="N16" s="132" t="str">
        <x:f>IF(OR(Q16="READY",Q16="REVIEW SETTINGS"),M16+ROUND(M16*SETTINGS!$B$18,2),"")</x:f>
      </x:c>
      <x:c r="O16" s="132" t="str">
        <x:f>IF(OR(Q16="READY",Q16="REVIEW SETTINGS"),M16-K16-ROUND(M16*SETTINGS!$B$15,2),"")</x:f>
      </x:c>
      <x:c r="P16" s="134" t="str">
        <x:f>IF(OR(Q16="READY",Q16="REVIEW SETTINGS"),IF(M16&gt;0,O16/M16,0),"")</x:f>
      </x:c>
      <x:c r="Q16" s="63" t="str">
        <x:f>IF(A16="","",IF(COUNTIF(SERVICES!$A$9:$A$15,B16)=0,"CHECK SERVICE",IF(OR(C16&lt;1,C16&lt;&gt;INT(C16),AND(D16&lt;&gt;"",D16&lt;=0),E16&lt;0,F16&lt;0,G16&lt;0,H16&lt;0,I16&lt;0,SETTINGS!$B$14+SETTINGS!$B$15&gt;=1,SETTINGS!$B$17&lt;=0),"CHECK INPUTS",IF(SETTINGS!$B$23&lt;&gt;"READY","REVIEW SETTINGS","READY"))))</x:f>
      </x:c>
    </x:row>
    <x:row r="17" ht="25" customHeight="1">
      <x:c r="A17" s="74"/>
      <x:c r="B17" s="74"/>
      <x:c r="C17" s="74"/>
      <x:c r="D17" s="74"/>
      <x:c r="E17" s="74"/>
      <x:c r="F17" s="74"/>
      <x:c r="G17" s="74"/>
      <x:c r="H17" s="74"/>
      <x:c r="I17" s="74"/>
      <x:c r="J17" s="63" t="str">
        <x:f>IF(OR(Q17="READY",Q17="REVIEW SETTINGS"),IF(D17="",IFERROR(VLOOKUP(B17,SERVICES!$A$9:$C$15,2,FALSE),0),D17),"")</x:f>
      </x:c>
      <x:c r="K17" s="132" t="str">
        <x:f>IF(OR(Q17="READY",Q17="REVIEW SETTINGS"),ROUND((ROUND(C17*(J17+E17)*SETTINGS!$B$10,2)+ROUND(IFERROR(VLOOKUP(B17,SERVICES!$A$9:$C$15,3,FALSE),0)+G17,2)+ROUND(F17*SETTINGS!$B$11,2)+ROUND(SETTINGS!$B$12+H17,2))+ROUND((ROUND(C17*(J17+E17)*SETTINGS!$B$10,2)+ROUND(IFERROR(VLOOKUP(B17,SERVICES!$A$9:$C$15,3,FALSE),0)+G17,2)+ROUND(F17*SETTINGS!$B$11,2)+ROUND(SETTINGS!$B$12+H17,2))*SETTINGS!$B$13,2),2),"")</x:f>
      </x:c>
      <x:c r="L17" s="132" t="str">
        <x:f>IF(OR(Q17="READY",Q17="REVIEW SETTINGS"),MAX(ROUNDUP((K17/(1-SETTINGS!$B$14-SETTINGS!$B$15)+I17)/SETTINGS!$B$17,0)*SETTINGS!$B$17,ROUNDUP((SETTINGS!$B$16+I17)/SETTINGS!$B$17,0)*SETTINGS!$B$17),"")</x:f>
      </x:c>
      <x:c r="M17" s="132" t="str">
        <x:f>IF(OR(Q17="READY",Q17="REVIEW SETTINGS"),L17-I17,"")</x:f>
      </x:c>
      <x:c r="N17" s="132" t="str">
        <x:f>IF(OR(Q17="READY",Q17="REVIEW SETTINGS"),M17+ROUND(M17*SETTINGS!$B$18,2),"")</x:f>
      </x:c>
      <x:c r="O17" s="132" t="str">
        <x:f>IF(OR(Q17="READY",Q17="REVIEW SETTINGS"),M17-K17-ROUND(M17*SETTINGS!$B$15,2),"")</x:f>
      </x:c>
      <x:c r="P17" s="134" t="str">
        <x:f>IF(OR(Q17="READY",Q17="REVIEW SETTINGS"),IF(M17&gt;0,O17/M17,0),"")</x:f>
      </x:c>
      <x:c r="Q17" s="63" t="str">
        <x:f>IF(A17="","",IF(COUNTIF(SERVICES!$A$9:$A$15,B17)=0,"CHECK SERVICE",IF(OR(C17&lt;1,C17&lt;&gt;INT(C17),AND(D17&lt;&gt;"",D17&lt;=0),E17&lt;0,F17&lt;0,G17&lt;0,H17&lt;0,I17&lt;0,SETTINGS!$B$14+SETTINGS!$B$15&gt;=1,SETTINGS!$B$17&lt;=0),"CHECK INPUTS",IF(SETTINGS!$B$23&lt;&gt;"READY","REVIEW SETTINGS","READY"))))</x:f>
      </x:c>
    </x:row>
    <x:row r="18" ht="25" customHeight="1">
      <x:c r="A18" s="74"/>
      <x:c r="B18" s="74"/>
      <x:c r="C18" s="74"/>
      <x:c r="D18" s="74"/>
      <x:c r="E18" s="74"/>
      <x:c r="F18" s="74"/>
      <x:c r="G18" s="74"/>
      <x:c r="H18" s="74"/>
      <x:c r="I18" s="74"/>
      <x:c r="J18" s="63" t="str">
        <x:f>IF(OR(Q18="READY",Q18="REVIEW SETTINGS"),IF(D18="",IFERROR(VLOOKUP(B18,SERVICES!$A$9:$C$15,2,FALSE),0),D18),"")</x:f>
      </x:c>
      <x:c r="K18" s="132" t="str">
        <x:f>IF(OR(Q18="READY",Q18="REVIEW SETTINGS"),ROUND((ROUND(C18*(J18+E18)*SETTINGS!$B$10,2)+ROUND(IFERROR(VLOOKUP(B18,SERVICES!$A$9:$C$15,3,FALSE),0)+G18,2)+ROUND(F18*SETTINGS!$B$11,2)+ROUND(SETTINGS!$B$12+H18,2))+ROUND((ROUND(C18*(J18+E18)*SETTINGS!$B$10,2)+ROUND(IFERROR(VLOOKUP(B18,SERVICES!$A$9:$C$15,3,FALSE),0)+G18,2)+ROUND(F18*SETTINGS!$B$11,2)+ROUND(SETTINGS!$B$12+H18,2))*SETTINGS!$B$13,2),2),"")</x:f>
      </x:c>
      <x:c r="L18" s="132" t="str">
        <x:f>IF(OR(Q18="READY",Q18="REVIEW SETTINGS"),MAX(ROUNDUP((K18/(1-SETTINGS!$B$14-SETTINGS!$B$15)+I18)/SETTINGS!$B$17,0)*SETTINGS!$B$17,ROUNDUP((SETTINGS!$B$16+I18)/SETTINGS!$B$17,0)*SETTINGS!$B$17),"")</x:f>
      </x:c>
      <x:c r="M18" s="132" t="str">
        <x:f>IF(OR(Q18="READY",Q18="REVIEW SETTINGS"),L18-I18,"")</x:f>
      </x:c>
      <x:c r="N18" s="132" t="str">
        <x:f>IF(OR(Q18="READY",Q18="REVIEW SETTINGS"),M18+ROUND(M18*SETTINGS!$B$18,2),"")</x:f>
      </x:c>
      <x:c r="O18" s="132" t="str">
        <x:f>IF(OR(Q18="READY",Q18="REVIEW SETTINGS"),M18-K18-ROUND(M18*SETTINGS!$B$15,2),"")</x:f>
      </x:c>
      <x:c r="P18" s="134" t="str">
        <x:f>IF(OR(Q18="READY",Q18="REVIEW SETTINGS"),IF(M18&gt;0,O18/M18,0),"")</x:f>
      </x:c>
      <x:c r="Q18" s="63" t="str">
        <x:f>IF(A18="","",IF(COUNTIF(SERVICES!$A$9:$A$15,B18)=0,"CHECK SERVICE",IF(OR(C18&lt;1,C18&lt;&gt;INT(C18),AND(D18&lt;&gt;"",D18&lt;=0),E18&lt;0,F18&lt;0,G18&lt;0,H18&lt;0,I18&lt;0,SETTINGS!$B$14+SETTINGS!$B$15&gt;=1,SETTINGS!$B$17&lt;=0),"CHECK INPUTS",IF(SETTINGS!$B$23&lt;&gt;"READY","REVIEW SETTINGS","READY"))))</x:f>
      </x:c>
    </x:row>
    <x:row r="19" ht="25" customHeight="1">
      <x:c r="A19" s="74"/>
      <x:c r="B19" s="74"/>
      <x:c r="C19" s="74"/>
      <x:c r="D19" s="74"/>
      <x:c r="E19" s="74"/>
      <x:c r="F19" s="74"/>
      <x:c r="G19" s="74"/>
      <x:c r="H19" s="74"/>
      <x:c r="I19" s="74"/>
      <x:c r="J19" s="63" t="str">
        <x:f>IF(OR(Q19="READY",Q19="REVIEW SETTINGS"),IF(D19="",IFERROR(VLOOKUP(B19,SERVICES!$A$9:$C$15,2,FALSE),0),D19),"")</x:f>
      </x:c>
      <x:c r="K19" s="132" t="str">
        <x:f>IF(OR(Q19="READY",Q19="REVIEW SETTINGS"),ROUND((ROUND(C19*(J19+E19)*SETTINGS!$B$10,2)+ROUND(IFERROR(VLOOKUP(B19,SERVICES!$A$9:$C$15,3,FALSE),0)+G19,2)+ROUND(F19*SETTINGS!$B$11,2)+ROUND(SETTINGS!$B$12+H19,2))+ROUND((ROUND(C19*(J19+E19)*SETTINGS!$B$10,2)+ROUND(IFERROR(VLOOKUP(B19,SERVICES!$A$9:$C$15,3,FALSE),0)+G19,2)+ROUND(F19*SETTINGS!$B$11,2)+ROUND(SETTINGS!$B$12+H19,2))*SETTINGS!$B$13,2),2),"")</x:f>
      </x:c>
      <x:c r="L19" s="132" t="str">
        <x:f>IF(OR(Q19="READY",Q19="REVIEW SETTINGS"),MAX(ROUNDUP((K19/(1-SETTINGS!$B$14-SETTINGS!$B$15)+I19)/SETTINGS!$B$17,0)*SETTINGS!$B$17,ROUNDUP((SETTINGS!$B$16+I19)/SETTINGS!$B$17,0)*SETTINGS!$B$17),"")</x:f>
      </x:c>
      <x:c r="M19" s="132" t="str">
        <x:f>IF(OR(Q19="READY",Q19="REVIEW SETTINGS"),L19-I19,"")</x:f>
      </x:c>
      <x:c r="N19" s="132" t="str">
        <x:f>IF(OR(Q19="READY",Q19="REVIEW SETTINGS"),M19+ROUND(M19*SETTINGS!$B$18,2),"")</x:f>
      </x:c>
      <x:c r="O19" s="132" t="str">
        <x:f>IF(OR(Q19="READY",Q19="REVIEW SETTINGS"),M19-K19-ROUND(M19*SETTINGS!$B$15,2),"")</x:f>
      </x:c>
      <x:c r="P19" s="134" t="str">
        <x:f>IF(OR(Q19="READY",Q19="REVIEW SETTINGS"),IF(M19&gt;0,O19/M19,0),"")</x:f>
      </x:c>
      <x:c r="Q19" s="63" t="str">
        <x:f>IF(A19="","",IF(COUNTIF(SERVICES!$A$9:$A$15,B19)=0,"CHECK SERVICE",IF(OR(C19&lt;1,C19&lt;&gt;INT(C19),AND(D19&lt;&gt;"",D19&lt;=0),E19&lt;0,F19&lt;0,G19&lt;0,H19&lt;0,I19&lt;0,SETTINGS!$B$14+SETTINGS!$B$15&gt;=1,SETTINGS!$B$17&lt;=0),"CHECK INPUTS",IF(SETTINGS!$B$23&lt;&gt;"READY","REVIEW SETTINGS","READY"))))</x:f>
      </x:c>
    </x:row>
    <x:row r="20" ht="25" customHeight="1">
      <x:c r="A20" s="74"/>
      <x:c r="B20" s="74"/>
      <x:c r="C20" s="74"/>
      <x:c r="D20" s="74"/>
      <x:c r="E20" s="74"/>
      <x:c r="F20" s="74"/>
      <x:c r="G20" s="74"/>
      <x:c r="H20" s="74"/>
      <x:c r="I20" s="74"/>
      <x:c r="J20" s="63" t="str">
        <x:f>IF(OR(Q20="READY",Q20="REVIEW SETTINGS"),IF(D20="",IFERROR(VLOOKUP(B20,SERVICES!$A$9:$C$15,2,FALSE),0),D20),"")</x:f>
      </x:c>
      <x:c r="K20" s="132" t="str">
        <x:f>IF(OR(Q20="READY",Q20="REVIEW SETTINGS"),ROUND((ROUND(C20*(J20+E20)*SETTINGS!$B$10,2)+ROUND(IFERROR(VLOOKUP(B20,SERVICES!$A$9:$C$15,3,FALSE),0)+G20,2)+ROUND(F20*SETTINGS!$B$11,2)+ROUND(SETTINGS!$B$12+H20,2))+ROUND((ROUND(C20*(J20+E20)*SETTINGS!$B$10,2)+ROUND(IFERROR(VLOOKUP(B20,SERVICES!$A$9:$C$15,3,FALSE),0)+G20,2)+ROUND(F20*SETTINGS!$B$11,2)+ROUND(SETTINGS!$B$12+H20,2))*SETTINGS!$B$13,2),2),"")</x:f>
      </x:c>
      <x:c r="L20" s="132" t="str">
        <x:f>IF(OR(Q20="READY",Q20="REVIEW SETTINGS"),MAX(ROUNDUP((K20/(1-SETTINGS!$B$14-SETTINGS!$B$15)+I20)/SETTINGS!$B$17,0)*SETTINGS!$B$17,ROUNDUP((SETTINGS!$B$16+I20)/SETTINGS!$B$17,0)*SETTINGS!$B$17),"")</x:f>
      </x:c>
      <x:c r="M20" s="132" t="str">
        <x:f>IF(OR(Q20="READY",Q20="REVIEW SETTINGS"),L20-I20,"")</x:f>
      </x:c>
      <x:c r="N20" s="132" t="str">
        <x:f>IF(OR(Q20="READY",Q20="REVIEW SETTINGS"),M20+ROUND(M20*SETTINGS!$B$18,2),"")</x:f>
      </x:c>
      <x:c r="O20" s="132" t="str">
        <x:f>IF(OR(Q20="READY",Q20="REVIEW SETTINGS"),M20-K20-ROUND(M20*SETTINGS!$B$15,2),"")</x:f>
      </x:c>
      <x:c r="P20" s="134" t="str">
        <x:f>IF(OR(Q20="READY",Q20="REVIEW SETTINGS"),IF(M20&gt;0,O20/M20,0),"")</x:f>
      </x:c>
      <x:c r="Q20" s="63" t="str">
        <x:f>IF(A20="","",IF(COUNTIF(SERVICES!$A$9:$A$15,B20)=0,"CHECK SERVICE",IF(OR(C20&lt;1,C20&lt;&gt;INT(C20),AND(D20&lt;&gt;"",D20&lt;=0),E20&lt;0,F20&lt;0,G20&lt;0,H20&lt;0,I20&lt;0,SETTINGS!$B$14+SETTINGS!$B$15&gt;=1,SETTINGS!$B$17&lt;=0),"CHECK INPUTS",IF(SETTINGS!$B$23&lt;&gt;"READY","REVIEW SETTINGS","READY"))))</x:f>
      </x:c>
    </x:row>
    <x:row r="21" ht="25" customHeight="1">
      <x:c r="A21" s="74"/>
      <x:c r="B21" s="74"/>
      <x:c r="C21" s="74"/>
      <x:c r="D21" s="74"/>
      <x:c r="E21" s="74"/>
      <x:c r="F21" s="74"/>
      <x:c r="G21" s="74"/>
      <x:c r="H21" s="74"/>
      <x:c r="I21" s="74"/>
      <x:c r="J21" s="63" t="str">
        <x:f>IF(OR(Q21="READY",Q21="REVIEW SETTINGS"),IF(D21="",IFERROR(VLOOKUP(B21,SERVICES!$A$9:$C$15,2,FALSE),0),D21),"")</x:f>
      </x:c>
      <x:c r="K21" s="132" t="str">
        <x:f>IF(OR(Q21="READY",Q21="REVIEW SETTINGS"),ROUND((ROUND(C21*(J21+E21)*SETTINGS!$B$10,2)+ROUND(IFERROR(VLOOKUP(B21,SERVICES!$A$9:$C$15,3,FALSE),0)+G21,2)+ROUND(F21*SETTINGS!$B$11,2)+ROUND(SETTINGS!$B$12+H21,2))+ROUND((ROUND(C21*(J21+E21)*SETTINGS!$B$10,2)+ROUND(IFERROR(VLOOKUP(B21,SERVICES!$A$9:$C$15,3,FALSE),0)+G21,2)+ROUND(F21*SETTINGS!$B$11,2)+ROUND(SETTINGS!$B$12+H21,2))*SETTINGS!$B$13,2),2),"")</x:f>
      </x:c>
      <x:c r="L21" s="132" t="str">
        <x:f>IF(OR(Q21="READY",Q21="REVIEW SETTINGS"),MAX(ROUNDUP((K21/(1-SETTINGS!$B$14-SETTINGS!$B$15)+I21)/SETTINGS!$B$17,0)*SETTINGS!$B$17,ROUNDUP((SETTINGS!$B$16+I21)/SETTINGS!$B$17,0)*SETTINGS!$B$17),"")</x:f>
      </x:c>
      <x:c r="M21" s="132" t="str">
        <x:f>IF(OR(Q21="READY",Q21="REVIEW SETTINGS"),L21-I21,"")</x:f>
      </x:c>
      <x:c r="N21" s="132" t="str">
        <x:f>IF(OR(Q21="READY",Q21="REVIEW SETTINGS"),M21+ROUND(M21*SETTINGS!$B$18,2),"")</x:f>
      </x:c>
      <x:c r="O21" s="132" t="str">
        <x:f>IF(OR(Q21="READY",Q21="REVIEW SETTINGS"),M21-K21-ROUND(M21*SETTINGS!$B$15,2),"")</x:f>
      </x:c>
      <x:c r="P21" s="134" t="str">
        <x:f>IF(OR(Q21="READY",Q21="REVIEW SETTINGS"),IF(M21&gt;0,O21/M21,0),"")</x:f>
      </x:c>
      <x:c r="Q21" s="63" t="str">
        <x:f>IF(A21="","",IF(COUNTIF(SERVICES!$A$9:$A$15,B21)=0,"CHECK SERVICE",IF(OR(C21&lt;1,C21&lt;&gt;INT(C21),AND(D21&lt;&gt;"",D21&lt;=0),E21&lt;0,F21&lt;0,G21&lt;0,H21&lt;0,I21&lt;0,SETTINGS!$B$14+SETTINGS!$B$15&gt;=1,SETTINGS!$B$17&lt;=0),"CHECK INPUTS",IF(SETTINGS!$B$23&lt;&gt;"READY","REVIEW SETTINGS","READY"))))</x:f>
      </x:c>
    </x:row>
    <x:row r="22" ht="25" customHeight="1">
      <x:c r="A22" s="74"/>
      <x:c r="B22" s="74"/>
      <x:c r="C22" s="74"/>
      <x:c r="D22" s="74"/>
      <x:c r="E22" s="74"/>
      <x:c r="F22" s="74"/>
      <x:c r="G22" s="74"/>
      <x:c r="H22" s="74"/>
      <x:c r="I22" s="74"/>
      <x:c r="J22" s="63" t="str">
        <x:f>IF(OR(Q22="READY",Q22="REVIEW SETTINGS"),IF(D22="",IFERROR(VLOOKUP(B22,SERVICES!$A$9:$C$15,2,FALSE),0),D22),"")</x:f>
      </x:c>
      <x:c r="K22" s="132" t="str">
        <x:f>IF(OR(Q22="READY",Q22="REVIEW SETTINGS"),ROUND((ROUND(C22*(J22+E22)*SETTINGS!$B$10,2)+ROUND(IFERROR(VLOOKUP(B22,SERVICES!$A$9:$C$15,3,FALSE),0)+G22,2)+ROUND(F22*SETTINGS!$B$11,2)+ROUND(SETTINGS!$B$12+H22,2))+ROUND((ROUND(C22*(J22+E22)*SETTINGS!$B$10,2)+ROUND(IFERROR(VLOOKUP(B22,SERVICES!$A$9:$C$15,3,FALSE),0)+G22,2)+ROUND(F22*SETTINGS!$B$11,2)+ROUND(SETTINGS!$B$12+H22,2))*SETTINGS!$B$13,2),2),"")</x:f>
      </x:c>
      <x:c r="L22" s="132" t="str">
        <x:f>IF(OR(Q22="READY",Q22="REVIEW SETTINGS"),MAX(ROUNDUP((K22/(1-SETTINGS!$B$14-SETTINGS!$B$15)+I22)/SETTINGS!$B$17,0)*SETTINGS!$B$17,ROUNDUP((SETTINGS!$B$16+I22)/SETTINGS!$B$17,0)*SETTINGS!$B$17),"")</x:f>
      </x:c>
      <x:c r="M22" s="132" t="str">
        <x:f>IF(OR(Q22="READY",Q22="REVIEW SETTINGS"),L22-I22,"")</x:f>
      </x:c>
      <x:c r="N22" s="132" t="str">
        <x:f>IF(OR(Q22="READY",Q22="REVIEW SETTINGS"),M22+ROUND(M22*SETTINGS!$B$18,2),"")</x:f>
      </x:c>
      <x:c r="O22" s="132" t="str">
        <x:f>IF(OR(Q22="READY",Q22="REVIEW SETTINGS"),M22-K22-ROUND(M22*SETTINGS!$B$15,2),"")</x:f>
      </x:c>
      <x:c r="P22" s="134" t="str">
        <x:f>IF(OR(Q22="READY",Q22="REVIEW SETTINGS"),IF(M22&gt;0,O22/M22,0),"")</x:f>
      </x:c>
      <x:c r="Q22" s="63" t="str">
        <x:f>IF(A22="","",IF(COUNTIF(SERVICES!$A$9:$A$15,B22)=0,"CHECK SERVICE",IF(OR(C22&lt;1,C22&lt;&gt;INT(C22),AND(D22&lt;&gt;"",D22&lt;=0),E22&lt;0,F22&lt;0,G22&lt;0,H22&lt;0,I22&lt;0,SETTINGS!$B$14+SETTINGS!$B$15&gt;=1,SETTINGS!$B$17&lt;=0),"CHECK INPUTS",IF(SETTINGS!$B$23&lt;&gt;"READY","REVIEW SETTINGS","READY"))))</x:f>
      </x:c>
    </x:row>
    <x:row r="23" ht="25" customHeight="1">
      <x:c r="A23" s="74"/>
      <x:c r="B23" s="74"/>
      <x:c r="C23" s="74"/>
      <x:c r="D23" s="74"/>
      <x:c r="E23" s="74"/>
      <x:c r="F23" s="74"/>
      <x:c r="G23" s="74"/>
      <x:c r="H23" s="74"/>
      <x:c r="I23" s="74"/>
      <x:c r="J23" s="63" t="str">
        <x:f>IF(OR(Q23="READY",Q23="REVIEW SETTINGS"),IF(D23="",IFERROR(VLOOKUP(B23,SERVICES!$A$9:$C$15,2,FALSE),0),D23),"")</x:f>
      </x:c>
      <x:c r="K23" s="132" t="str">
        <x:f>IF(OR(Q23="READY",Q23="REVIEW SETTINGS"),ROUND((ROUND(C23*(J23+E23)*SETTINGS!$B$10,2)+ROUND(IFERROR(VLOOKUP(B23,SERVICES!$A$9:$C$15,3,FALSE),0)+G23,2)+ROUND(F23*SETTINGS!$B$11,2)+ROUND(SETTINGS!$B$12+H23,2))+ROUND((ROUND(C23*(J23+E23)*SETTINGS!$B$10,2)+ROUND(IFERROR(VLOOKUP(B23,SERVICES!$A$9:$C$15,3,FALSE),0)+G23,2)+ROUND(F23*SETTINGS!$B$11,2)+ROUND(SETTINGS!$B$12+H23,2))*SETTINGS!$B$13,2),2),"")</x:f>
      </x:c>
      <x:c r="L23" s="132" t="str">
        <x:f>IF(OR(Q23="READY",Q23="REVIEW SETTINGS"),MAX(ROUNDUP((K23/(1-SETTINGS!$B$14-SETTINGS!$B$15)+I23)/SETTINGS!$B$17,0)*SETTINGS!$B$17,ROUNDUP((SETTINGS!$B$16+I23)/SETTINGS!$B$17,0)*SETTINGS!$B$17),"")</x:f>
      </x:c>
      <x:c r="M23" s="132" t="str">
        <x:f>IF(OR(Q23="READY",Q23="REVIEW SETTINGS"),L23-I23,"")</x:f>
      </x:c>
      <x:c r="N23" s="132" t="str">
        <x:f>IF(OR(Q23="READY",Q23="REVIEW SETTINGS"),M23+ROUND(M23*SETTINGS!$B$18,2),"")</x:f>
      </x:c>
      <x:c r="O23" s="132" t="str">
        <x:f>IF(OR(Q23="READY",Q23="REVIEW SETTINGS"),M23-K23-ROUND(M23*SETTINGS!$B$15,2),"")</x:f>
      </x:c>
      <x:c r="P23" s="134" t="str">
        <x:f>IF(OR(Q23="READY",Q23="REVIEW SETTINGS"),IF(M23&gt;0,O23/M23,0),"")</x:f>
      </x:c>
      <x:c r="Q23" s="63" t="str">
        <x:f>IF(A23="","",IF(COUNTIF(SERVICES!$A$9:$A$15,B23)=0,"CHECK SERVICE",IF(OR(C23&lt;1,C23&lt;&gt;INT(C23),AND(D23&lt;&gt;"",D23&lt;=0),E23&lt;0,F23&lt;0,G23&lt;0,H23&lt;0,I23&lt;0,SETTINGS!$B$14+SETTINGS!$B$15&gt;=1,SETTINGS!$B$17&lt;=0),"CHECK INPUTS",IF(SETTINGS!$B$23&lt;&gt;"READY","REVIEW SETTINGS","READY"))))</x:f>
      </x:c>
    </x:row>
    <x:row r="24" ht="25" customHeight="1">
      <x:c r="A24" s="74"/>
      <x:c r="B24" s="74"/>
      <x:c r="C24" s="74"/>
      <x:c r="D24" s="74"/>
      <x:c r="E24" s="74"/>
      <x:c r="F24" s="74"/>
      <x:c r="G24" s="74"/>
      <x:c r="H24" s="74"/>
      <x:c r="I24" s="74"/>
      <x:c r="J24" s="63" t="str">
        <x:f>IF(OR(Q24="READY",Q24="REVIEW SETTINGS"),IF(D24="",IFERROR(VLOOKUP(B24,SERVICES!$A$9:$C$15,2,FALSE),0),D24),"")</x:f>
      </x:c>
      <x:c r="K24" s="132" t="str">
        <x:f>IF(OR(Q24="READY",Q24="REVIEW SETTINGS"),ROUND((ROUND(C24*(J24+E24)*SETTINGS!$B$10,2)+ROUND(IFERROR(VLOOKUP(B24,SERVICES!$A$9:$C$15,3,FALSE),0)+G24,2)+ROUND(F24*SETTINGS!$B$11,2)+ROUND(SETTINGS!$B$12+H24,2))+ROUND((ROUND(C24*(J24+E24)*SETTINGS!$B$10,2)+ROUND(IFERROR(VLOOKUP(B24,SERVICES!$A$9:$C$15,3,FALSE),0)+G24,2)+ROUND(F24*SETTINGS!$B$11,2)+ROUND(SETTINGS!$B$12+H24,2))*SETTINGS!$B$13,2),2),"")</x:f>
      </x:c>
      <x:c r="L24" s="132" t="str">
        <x:f>IF(OR(Q24="READY",Q24="REVIEW SETTINGS"),MAX(ROUNDUP((K24/(1-SETTINGS!$B$14-SETTINGS!$B$15)+I24)/SETTINGS!$B$17,0)*SETTINGS!$B$17,ROUNDUP((SETTINGS!$B$16+I24)/SETTINGS!$B$17,0)*SETTINGS!$B$17),"")</x:f>
      </x:c>
      <x:c r="M24" s="132" t="str">
        <x:f>IF(OR(Q24="READY",Q24="REVIEW SETTINGS"),L24-I24,"")</x:f>
      </x:c>
      <x:c r="N24" s="132" t="str">
        <x:f>IF(OR(Q24="READY",Q24="REVIEW SETTINGS"),M24+ROUND(M24*SETTINGS!$B$18,2),"")</x:f>
      </x:c>
      <x:c r="O24" s="132" t="str">
        <x:f>IF(OR(Q24="READY",Q24="REVIEW SETTINGS"),M24-K24-ROUND(M24*SETTINGS!$B$15,2),"")</x:f>
      </x:c>
      <x:c r="P24" s="134" t="str">
        <x:f>IF(OR(Q24="READY",Q24="REVIEW SETTINGS"),IF(M24&gt;0,O24/M24,0),"")</x:f>
      </x:c>
      <x:c r="Q24" s="63" t="str">
        <x:f>IF(A24="","",IF(COUNTIF(SERVICES!$A$9:$A$15,B24)=0,"CHECK SERVICE",IF(OR(C24&lt;1,C24&lt;&gt;INT(C24),AND(D24&lt;&gt;"",D24&lt;=0),E24&lt;0,F24&lt;0,G24&lt;0,H24&lt;0,I24&lt;0,SETTINGS!$B$14+SETTINGS!$B$15&gt;=1,SETTINGS!$B$17&lt;=0),"CHECK INPUTS",IF(SETTINGS!$B$23&lt;&gt;"READY","REVIEW SETTINGS","READY"))))</x:f>
      </x:c>
    </x:row>
    <x:row r="25" ht="25" customHeight="1">
      <x:c r="A25" s="74"/>
      <x:c r="B25" s="74"/>
      <x:c r="C25" s="74"/>
      <x:c r="D25" s="74"/>
      <x:c r="E25" s="74"/>
      <x:c r="F25" s="74"/>
      <x:c r="G25" s="74"/>
      <x:c r="H25" s="74"/>
      <x:c r="I25" s="74"/>
      <x:c r="J25" s="63" t="str">
        <x:f>IF(OR(Q25="READY",Q25="REVIEW SETTINGS"),IF(D25="",IFERROR(VLOOKUP(B25,SERVICES!$A$9:$C$15,2,FALSE),0),D25),"")</x:f>
      </x:c>
      <x:c r="K25" s="132" t="str">
        <x:f>IF(OR(Q25="READY",Q25="REVIEW SETTINGS"),ROUND((ROUND(C25*(J25+E25)*SETTINGS!$B$10,2)+ROUND(IFERROR(VLOOKUP(B25,SERVICES!$A$9:$C$15,3,FALSE),0)+G25,2)+ROUND(F25*SETTINGS!$B$11,2)+ROUND(SETTINGS!$B$12+H25,2))+ROUND((ROUND(C25*(J25+E25)*SETTINGS!$B$10,2)+ROUND(IFERROR(VLOOKUP(B25,SERVICES!$A$9:$C$15,3,FALSE),0)+G25,2)+ROUND(F25*SETTINGS!$B$11,2)+ROUND(SETTINGS!$B$12+H25,2))*SETTINGS!$B$13,2),2),"")</x:f>
      </x:c>
      <x:c r="L25" s="132" t="str">
        <x:f>IF(OR(Q25="READY",Q25="REVIEW SETTINGS"),MAX(ROUNDUP((K25/(1-SETTINGS!$B$14-SETTINGS!$B$15)+I25)/SETTINGS!$B$17,0)*SETTINGS!$B$17,ROUNDUP((SETTINGS!$B$16+I25)/SETTINGS!$B$17,0)*SETTINGS!$B$17),"")</x:f>
      </x:c>
      <x:c r="M25" s="132" t="str">
        <x:f>IF(OR(Q25="READY",Q25="REVIEW SETTINGS"),L25-I25,"")</x:f>
      </x:c>
      <x:c r="N25" s="132" t="str">
        <x:f>IF(OR(Q25="READY",Q25="REVIEW SETTINGS"),M25+ROUND(M25*SETTINGS!$B$18,2),"")</x:f>
      </x:c>
      <x:c r="O25" s="132" t="str">
        <x:f>IF(OR(Q25="READY",Q25="REVIEW SETTINGS"),M25-K25-ROUND(M25*SETTINGS!$B$15,2),"")</x:f>
      </x:c>
      <x:c r="P25" s="134" t="str">
        <x:f>IF(OR(Q25="READY",Q25="REVIEW SETTINGS"),IF(M25&gt;0,O25/M25,0),"")</x:f>
      </x:c>
      <x:c r="Q25" s="63" t="str">
        <x:f>IF(A25="","",IF(COUNTIF(SERVICES!$A$9:$A$15,B25)=0,"CHECK SERVICE",IF(OR(C25&lt;1,C25&lt;&gt;INT(C25),AND(D25&lt;&gt;"",D25&lt;=0),E25&lt;0,F25&lt;0,G25&lt;0,H25&lt;0,I25&lt;0,SETTINGS!$B$14+SETTINGS!$B$15&gt;=1,SETTINGS!$B$17&lt;=0),"CHECK INPUTS",IF(SETTINGS!$B$23&lt;&gt;"READY","REVIEW SETTINGS","READY"))))</x:f>
      </x:c>
    </x:row>
    <x:row r="26" ht="25" customHeight="1">
      <x:c r="A26" s="74"/>
      <x:c r="B26" s="74"/>
      <x:c r="C26" s="74"/>
      <x:c r="D26" s="74"/>
      <x:c r="E26" s="74"/>
      <x:c r="F26" s="74"/>
      <x:c r="G26" s="74"/>
      <x:c r="H26" s="74"/>
      <x:c r="I26" s="74"/>
      <x:c r="J26" s="63" t="str">
        <x:f>IF(OR(Q26="READY",Q26="REVIEW SETTINGS"),IF(D26="",IFERROR(VLOOKUP(B26,SERVICES!$A$9:$C$15,2,FALSE),0),D26),"")</x:f>
      </x:c>
      <x:c r="K26" s="132" t="str">
        <x:f>IF(OR(Q26="READY",Q26="REVIEW SETTINGS"),ROUND((ROUND(C26*(J26+E26)*SETTINGS!$B$10,2)+ROUND(IFERROR(VLOOKUP(B26,SERVICES!$A$9:$C$15,3,FALSE),0)+G26,2)+ROUND(F26*SETTINGS!$B$11,2)+ROUND(SETTINGS!$B$12+H26,2))+ROUND((ROUND(C26*(J26+E26)*SETTINGS!$B$10,2)+ROUND(IFERROR(VLOOKUP(B26,SERVICES!$A$9:$C$15,3,FALSE),0)+G26,2)+ROUND(F26*SETTINGS!$B$11,2)+ROUND(SETTINGS!$B$12+H26,2))*SETTINGS!$B$13,2),2),"")</x:f>
      </x:c>
      <x:c r="L26" s="132" t="str">
        <x:f>IF(OR(Q26="READY",Q26="REVIEW SETTINGS"),MAX(ROUNDUP((K26/(1-SETTINGS!$B$14-SETTINGS!$B$15)+I26)/SETTINGS!$B$17,0)*SETTINGS!$B$17,ROUNDUP((SETTINGS!$B$16+I26)/SETTINGS!$B$17,0)*SETTINGS!$B$17),"")</x:f>
      </x:c>
      <x:c r="M26" s="132" t="str">
        <x:f>IF(OR(Q26="READY",Q26="REVIEW SETTINGS"),L26-I26,"")</x:f>
      </x:c>
      <x:c r="N26" s="132" t="str">
        <x:f>IF(OR(Q26="READY",Q26="REVIEW SETTINGS"),M26+ROUND(M26*SETTINGS!$B$18,2),"")</x:f>
      </x:c>
      <x:c r="O26" s="132" t="str">
        <x:f>IF(OR(Q26="READY",Q26="REVIEW SETTINGS"),M26-K26-ROUND(M26*SETTINGS!$B$15,2),"")</x:f>
      </x:c>
      <x:c r="P26" s="134" t="str">
        <x:f>IF(OR(Q26="READY",Q26="REVIEW SETTINGS"),IF(M26&gt;0,O26/M26,0),"")</x:f>
      </x:c>
      <x:c r="Q26" s="63" t="str">
        <x:f>IF(A26="","",IF(COUNTIF(SERVICES!$A$9:$A$15,B26)=0,"CHECK SERVICE",IF(OR(C26&lt;1,C26&lt;&gt;INT(C26),AND(D26&lt;&gt;"",D26&lt;=0),E26&lt;0,F26&lt;0,G26&lt;0,H26&lt;0,I26&lt;0,SETTINGS!$B$14+SETTINGS!$B$15&gt;=1,SETTINGS!$B$17&lt;=0),"CHECK INPUTS",IF(SETTINGS!$B$23&lt;&gt;"READY","REVIEW SETTINGS","READY"))))</x:f>
      </x:c>
    </x:row>
    <x:row r="27" ht="25" customHeight="1">
      <x:c r="A27" s="74"/>
      <x:c r="B27" s="74"/>
      <x:c r="C27" s="74"/>
      <x:c r="D27" s="74"/>
      <x:c r="E27" s="74"/>
      <x:c r="F27" s="74"/>
      <x:c r="G27" s="74"/>
      <x:c r="H27" s="74"/>
      <x:c r="I27" s="74"/>
      <x:c r="J27" s="63" t="str">
        <x:f>IF(OR(Q27="READY",Q27="REVIEW SETTINGS"),IF(D27="",IFERROR(VLOOKUP(B27,SERVICES!$A$9:$C$15,2,FALSE),0),D27),"")</x:f>
      </x:c>
      <x:c r="K27" s="132" t="str">
        <x:f>IF(OR(Q27="READY",Q27="REVIEW SETTINGS"),ROUND((ROUND(C27*(J27+E27)*SETTINGS!$B$10,2)+ROUND(IFERROR(VLOOKUP(B27,SERVICES!$A$9:$C$15,3,FALSE),0)+G27,2)+ROUND(F27*SETTINGS!$B$11,2)+ROUND(SETTINGS!$B$12+H27,2))+ROUND((ROUND(C27*(J27+E27)*SETTINGS!$B$10,2)+ROUND(IFERROR(VLOOKUP(B27,SERVICES!$A$9:$C$15,3,FALSE),0)+G27,2)+ROUND(F27*SETTINGS!$B$11,2)+ROUND(SETTINGS!$B$12+H27,2))*SETTINGS!$B$13,2),2),"")</x:f>
      </x:c>
      <x:c r="L27" s="132" t="str">
        <x:f>IF(OR(Q27="READY",Q27="REVIEW SETTINGS"),MAX(ROUNDUP((K27/(1-SETTINGS!$B$14-SETTINGS!$B$15)+I27)/SETTINGS!$B$17,0)*SETTINGS!$B$17,ROUNDUP((SETTINGS!$B$16+I27)/SETTINGS!$B$17,0)*SETTINGS!$B$17),"")</x:f>
      </x:c>
      <x:c r="M27" s="132" t="str">
        <x:f>IF(OR(Q27="READY",Q27="REVIEW SETTINGS"),L27-I27,"")</x:f>
      </x:c>
      <x:c r="N27" s="132" t="str">
        <x:f>IF(OR(Q27="READY",Q27="REVIEW SETTINGS"),M27+ROUND(M27*SETTINGS!$B$18,2),"")</x:f>
      </x:c>
      <x:c r="O27" s="132" t="str">
        <x:f>IF(OR(Q27="READY",Q27="REVIEW SETTINGS"),M27-K27-ROUND(M27*SETTINGS!$B$15,2),"")</x:f>
      </x:c>
      <x:c r="P27" s="134" t="str">
        <x:f>IF(OR(Q27="READY",Q27="REVIEW SETTINGS"),IF(M27&gt;0,O27/M27,0),"")</x:f>
      </x:c>
      <x:c r="Q27" s="63" t="str">
        <x:f>IF(A27="","",IF(COUNTIF(SERVICES!$A$9:$A$15,B27)=0,"CHECK SERVICE",IF(OR(C27&lt;1,C27&lt;&gt;INT(C27),AND(D27&lt;&gt;"",D27&lt;=0),E27&lt;0,F27&lt;0,G27&lt;0,H27&lt;0,I27&lt;0,SETTINGS!$B$14+SETTINGS!$B$15&gt;=1,SETTINGS!$B$17&lt;=0),"CHECK INPUTS",IF(SETTINGS!$B$23&lt;&gt;"READY","REVIEW SETTINGS","READY"))))</x:f>
      </x:c>
    </x:row>
    <x:row r="28" ht="25" customHeight="1">
      <x:c r="A28" s="74"/>
      <x:c r="B28" s="74"/>
      <x:c r="C28" s="74"/>
      <x:c r="D28" s="74"/>
      <x:c r="E28" s="74"/>
      <x:c r="F28" s="74"/>
      <x:c r="G28" s="74"/>
      <x:c r="H28" s="74"/>
      <x:c r="I28" s="74"/>
      <x:c r="J28" s="63" t="str">
        <x:f>IF(OR(Q28="READY",Q28="REVIEW SETTINGS"),IF(D28="",IFERROR(VLOOKUP(B28,SERVICES!$A$9:$C$15,2,FALSE),0),D28),"")</x:f>
      </x:c>
      <x:c r="K28" s="132" t="str">
        <x:f>IF(OR(Q28="READY",Q28="REVIEW SETTINGS"),ROUND((ROUND(C28*(J28+E28)*SETTINGS!$B$10,2)+ROUND(IFERROR(VLOOKUP(B28,SERVICES!$A$9:$C$15,3,FALSE),0)+G28,2)+ROUND(F28*SETTINGS!$B$11,2)+ROUND(SETTINGS!$B$12+H28,2))+ROUND((ROUND(C28*(J28+E28)*SETTINGS!$B$10,2)+ROUND(IFERROR(VLOOKUP(B28,SERVICES!$A$9:$C$15,3,FALSE),0)+G28,2)+ROUND(F28*SETTINGS!$B$11,2)+ROUND(SETTINGS!$B$12+H28,2))*SETTINGS!$B$13,2),2),"")</x:f>
      </x:c>
      <x:c r="L28" s="132" t="str">
        <x:f>IF(OR(Q28="READY",Q28="REVIEW SETTINGS"),MAX(ROUNDUP((K28/(1-SETTINGS!$B$14-SETTINGS!$B$15)+I28)/SETTINGS!$B$17,0)*SETTINGS!$B$17,ROUNDUP((SETTINGS!$B$16+I28)/SETTINGS!$B$17,0)*SETTINGS!$B$17),"")</x:f>
      </x:c>
      <x:c r="M28" s="132" t="str">
        <x:f>IF(OR(Q28="READY",Q28="REVIEW SETTINGS"),L28-I28,"")</x:f>
      </x:c>
      <x:c r="N28" s="132" t="str">
        <x:f>IF(OR(Q28="READY",Q28="REVIEW SETTINGS"),M28+ROUND(M28*SETTINGS!$B$18,2),"")</x:f>
      </x:c>
      <x:c r="O28" s="132" t="str">
        <x:f>IF(OR(Q28="READY",Q28="REVIEW SETTINGS"),M28-K28-ROUND(M28*SETTINGS!$B$15,2),"")</x:f>
      </x:c>
      <x:c r="P28" s="134" t="str">
        <x:f>IF(OR(Q28="READY",Q28="REVIEW SETTINGS"),IF(M28&gt;0,O28/M28,0),"")</x:f>
      </x:c>
      <x:c r="Q28" s="63" t="str">
        <x:f>IF(A28="","",IF(COUNTIF(SERVICES!$A$9:$A$15,B28)=0,"CHECK SERVICE",IF(OR(C28&lt;1,C28&lt;&gt;INT(C28),AND(D28&lt;&gt;"",D28&lt;=0),E28&lt;0,F28&lt;0,G28&lt;0,H28&lt;0,I28&lt;0,SETTINGS!$B$14+SETTINGS!$B$15&gt;=1,SETTINGS!$B$17&lt;=0),"CHECK INPUTS",IF(SETTINGS!$B$23&lt;&gt;"READY","REVIEW SETTINGS","READY"))))</x:f>
      </x:c>
    </x:row>
    <x:row r="29" ht="25" customHeight="1">
      <x:c r="A29" s="74"/>
      <x:c r="B29" s="74"/>
      <x:c r="C29" s="74"/>
      <x:c r="D29" s="74"/>
      <x:c r="E29" s="74"/>
      <x:c r="F29" s="74"/>
      <x:c r="G29" s="74"/>
      <x:c r="H29" s="74"/>
      <x:c r="I29" s="74"/>
      <x:c r="J29" s="63" t="str">
        <x:f>IF(OR(Q29="READY",Q29="REVIEW SETTINGS"),IF(D29="",IFERROR(VLOOKUP(B29,SERVICES!$A$9:$C$15,2,FALSE),0),D29),"")</x:f>
      </x:c>
      <x:c r="K29" s="132" t="str">
        <x:f>IF(OR(Q29="READY",Q29="REVIEW SETTINGS"),ROUND((ROUND(C29*(J29+E29)*SETTINGS!$B$10,2)+ROUND(IFERROR(VLOOKUP(B29,SERVICES!$A$9:$C$15,3,FALSE),0)+G29,2)+ROUND(F29*SETTINGS!$B$11,2)+ROUND(SETTINGS!$B$12+H29,2))+ROUND((ROUND(C29*(J29+E29)*SETTINGS!$B$10,2)+ROUND(IFERROR(VLOOKUP(B29,SERVICES!$A$9:$C$15,3,FALSE),0)+G29,2)+ROUND(F29*SETTINGS!$B$11,2)+ROUND(SETTINGS!$B$12+H29,2))*SETTINGS!$B$13,2),2),"")</x:f>
      </x:c>
      <x:c r="L29" s="132" t="str">
        <x:f>IF(OR(Q29="READY",Q29="REVIEW SETTINGS"),MAX(ROUNDUP((K29/(1-SETTINGS!$B$14-SETTINGS!$B$15)+I29)/SETTINGS!$B$17,0)*SETTINGS!$B$17,ROUNDUP((SETTINGS!$B$16+I29)/SETTINGS!$B$17,0)*SETTINGS!$B$17),"")</x:f>
      </x:c>
      <x:c r="M29" s="132" t="str">
        <x:f>IF(OR(Q29="READY",Q29="REVIEW SETTINGS"),L29-I29,"")</x:f>
      </x:c>
      <x:c r="N29" s="132" t="str">
        <x:f>IF(OR(Q29="READY",Q29="REVIEW SETTINGS"),M29+ROUND(M29*SETTINGS!$B$18,2),"")</x:f>
      </x:c>
      <x:c r="O29" s="132" t="str">
        <x:f>IF(OR(Q29="READY",Q29="REVIEW SETTINGS"),M29-K29-ROUND(M29*SETTINGS!$B$15,2),"")</x:f>
      </x:c>
      <x:c r="P29" s="134" t="str">
        <x:f>IF(OR(Q29="READY",Q29="REVIEW SETTINGS"),IF(M29&gt;0,O29/M29,0),"")</x:f>
      </x:c>
      <x:c r="Q29" s="63" t="str">
        <x:f>IF(A29="","",IF(COUNTIF(SERVICES!$A$9:$A$15,B29)=0,"CHECK SERVICE",IF(OR(C29&lt;1,C29&lt;&gt;INT(C29),AND(D29&lt;&gt;"",D29&lt;=0),E29&lt;0,F29&lt;0,G29&lt;0,H29&lt;0,I29&lt;0,SETTINGS!$B$14+SETTINGS!$B$15&gt;=1,SETTINGS!$B$17&lt;=0),"CHECK INPUTS",IF(SETTINGS!$B$23&lt;&gt;"READY","REVIEW SETTINGS","READY"))))</x:f>
      </x:c>
    </x:row>
    <x:row r="30" ht="25" customHeight="1">
      <x:c r="A30" s="74"/>
      <x:c r="B30" s="74"/>
      <x:c r="C30" s="74"/>
      <x:c r="D30" s="74"/>
      <x:c r="E30" s="74"/>
      <x:c r="F30" s="74"/>
      <x:c r="G30" s="74"/>
      <x:c r="H30" s="74"/>
      <x:c r="I30" s="74"/>
      <x:c r="J30" s="63" t="str">
        <x:f>IF(OR(Q30="READY",Q30="REVIEW SETTINGS"),IF(D30="",IFERROR(VLOOKUP(B30,SERVICES!$A$9:$C$15,2,FALSE),0),D30),"")</x:f>
      </x:c>
      <x:c r="K30" s="132" t="str">
        <x:f>IF(OR(Q30="READY",Q30="REVIEW SETTINGS"),ROUND((ROUND(C30*(J30+E30)*SETTINGS!$B$10,2)+ROUND(IFERROR(VLOOKUP(B30,SERVICES!$A$9:$C$15,3,FALSE),0)+G30,2)+ROUND(F30*SETTINGS!$B$11,2)+ROUND(SETTINGS!$B$12+H30,2))+ROUND((ROUND(C30*(J30+E30)*SETTINGS!$B$10,2)+ROUND(IFERROR(VLOOKUP(B30,SERVICES!$A$9:$C$15,3,FALSE),0)+G30,2)+ROUND(F30*SETTINGS!$B$11,2)+ROUND(SETTINGS!$B$12+H30,2))*SETTINGS!$B$13,2),2),"")</x:f>
      </x:c>
      <x:c r="L30" s="132" t="str">
        <x:f>IF(OR(Q30="READY",Q30="REVIEW SETTINGS"),MAX(ROUNDUP((K30/(1-SETTINGS!$B$14-SETTINGS!$B$15)+I30)/SETTINGS!$B$17,0)*SETTINGS!$B$17,ROUNDUP((SETTINGS!$B$16+I30)/SETTINGS!$B$17,0)*SETTINGS!$B$17),"")</x:f>
      </x:c>
      <x:c r="M30" s="132" t="str">
        <x:f>IF(OR(Q30="READY",Q30="REVIEW SETTINGS"),L30-I30,"")</x:f>
      </x:c>
      <x:c r="N30" s="132" t="str">
        <x:f>IF(OR(Q30="READY",Q30="REVIEW SETTINGS"),M30+ROUND(M30*SETTINGS!$B$18,2),"")</x:f>
      </x:c>
      <x:c r="O30" s="132" t="str">
        <x:f>IF(OR(Q30="READY",Q30="REVIEW SETTINGS"),M30-K30-ROUND(M30*SETTINGS!$B$15,2),"")</x:f>
      </x:c>
      <x:c r="P30" s="134" t="str">
        <x:f>IF(OR(Q30="READY",Q30="REVIEW SETTINGS"),IF(M30&gt;0,O30/M30,0),"")</x:f>
      </x:c>
      <x:c r="Q30" s="63" t="str">
        <x:f>IF(A30="","",IF(COUNTIF(SERVICES!$A$9:$A$15,B30)=0,"CHECK SERVICE",IF(OR(C30&lt;1,C30&lt;&gt;INT(C30),AND(D30&lt;&gt;"",D30&lt;=0),E30&lt;0,F30&lt;0,G30&lt;0,H30&lt;0,I30&lt;0,SETTINGS!$B$14+SETTINGS!$B$15&gt;=1,SETTINGS!$B$17&lt;=0),"CHECK INPUTS",IF(SETTINGS!$B$23&lt;&gt;"READY","REVIEW SETTINGS","READY"))))</x:f>
      </x:c>
    </x:row>
    <x:row r="31" ht="25" customHeight="1">
      <x:c r="A31" s="74"/>
      <x:c r="B31" s="74"/>
      <x:c r="C31" s="74"/>
      <x:c r="D31" s="74"/>
      <x:c r="E31" s="74"/>
      <x:c r="F31" s="74"/>
      <x:c r="G31" s="74"/>
      <x:c r="H31" s="74"/>
      <x:c r="I31" s="74"/>
      <x:c r="J31" s="63" t="str">
        <x:f>IF(OR(Q31="READY",Q31="REVIEW SETTINGS"),IF(D31="",IFERROR(VLOOKUP(B31,SERVICES!$A$9:$C$15,2,FALSE),0),D31),"")</x:f>
      </x:c>
      <x:c r="K31" s="132" t="str">
        <x:f>IF(OR(Q31="READY",Q31="REVIEW SETTINGS"),ROUND((ROUND(C31*(J31+E31)*SETTINGS!$B$10,2)+ROUND(IFERROR(VLOOKUP(B31,SERVICES!$A$9:$C$15,3,FALSE),0)+G31,2)+ROUND(F31*SETTINGS!$B$11,2)+ROUND(SETTINGS!$B$12+H31,2))+ROUND((ROUND(C31*(J31+E31)*SETTINGS!$B$10,2)+ROUND(IFERROR(VLOOKUP(B31,SERVICES!$A$9:$C$15,3,FALSE),0)+G31,2)+ROUND(F31*SETTINGS!$B$11,2)+ROUND(SETTINGS!$B$12+H31,2))*SETTINGS!$B$13,2),2),"")</x:f>
      </x:c>
      <x:c r="L31" s="132" t="str">
        <x:f>IF(OR(Q31="READY",Q31="REVIEW SETTINGS"),MAX(ROUNDUP((K31/(1-SETTINGS!$B$14-SETTINGS!$B$15)+I31)/SETTINGS!$B$17,0)*SETTINGS!$B$17,ROUNDUP((SETTINGS!$B$16+I31)/SETTINGS!$B$17,0)*SETTINGS!$B$17),"")</x:f>
      </x:c>
      <x:c r="M31" s="132" t="str">
        <x:f>IF(OR(Q31="READY",Q31="REVIEW SETTINGS"),L31-I31,"")</x:f>
      </x:c>
      <x:c r="N31" s="132" t="str">
        <x:f>IF(OR(Q31="READY",Q31="REVIEW SETTINGS"),M31+ROUND(M31*SETTINGS!$B$18,2),"")</x:f>
      </x:c>
      <x:c r="O31" s="132" t="str">
        <x:f>IF(OR(Q31="READY",Q31="REVIEW SETTINGS"),M31-K31-ROUND(M31*SETTINGS!$B$15,2),"")</x:f>
      </x:c>
      <x:c r="P31" s="134" t="str">
        <x:f>IF(OR(Q31="READY",Q31="REVIEW SETTINGS"),IF(M31&gt;0,O31/M31,0),"")</x:f>
      </x:c>
      <x:c r="Q31" s="63" t="str">
        <x:f>IF(A31="","",IF(COUNTIF(SERVICES!$A$9:$A$15,B31)=0,"CHECK SERVICE",IF(OR(C31&lt;1,C31&lt;&gt;INT(C31),AND(D31&lt;&gt;"",D31&lt;=0),E31&lt;0,F31&lt;0,G31&lt;0,H31&lt;0,I31&lt;0,SETTINGS!$B$14+SETTINGS!$B$15&gt;=1,SETTINGS!$B$17&lt;=0),"CHECK INPUTS",IF(SETTINGS!$B$23&lt;&gt;"READY","REVIEW SETTINGS","READY"))))</x:f>
      </x:c>
    </x:row>
    <x:row r="32" ht="25" customHeight="1">
      <x:c r="A32" s="74"/>
      <x:c r="B32" s="74"/>
      <x:c r="C32" s="74"/>
      <x:c r="D32" s="74"/>
      <x:c r="E32" s="74"/>
      <x:c r="F32" s="74"/>
      <x:c r="G32" s="74"/>
      <x:c r="H32" s="74"/>
      <x:c r="I32" s="74"/>
      <x:c r="J32" s="63" t="str">
        <x:f>IF(OR(Q32="READY",Q32="REVIEW SETTINGS"),IF(D32="",IFERROR(VLOOKUP(B32,SERVICES!$A$9:$C$15,2,FALSE),0),D32),"")</x:f>
      </x:c>
      <x:c r="K32" s="132" t="str">
        <x:f>IF(OR(Q32="READY",Q32="REVIEW SETTINGS"),ROUND((ROUND(C32*(J32+E32)*SETTINGS!$B$10,2)+ROUND(IFERROR(VLOOKUP(B32,SERVICES!$A$9:$C$15,3,FALSE),0)+G32,2)+ROUND(F32*SETTINGS!$B$11,2)+ROUND(SETTINGS!$B$12+H32,2))+ROUND((ROUND(C32*(J32+E32)*SETTINGS!$B$10,2)+ROUND(IFERROR(VLOOKUP(B32,SERVICES!$A$9:$C$15,3,FALSE),0)+G32,2)+ROUND(F32*SETTINGS!$B$11,2)+ROUND(SETTINGS!$B$12+H32,2))*SETTINGS!$B$13,2),2),"")</x:f>
      </x:c>
      <x:c r="L32" s="132" t="str">
        <x:f>IF(OR(Q32="READY",Q32="REVIEW SETTINGS"),MAX(ROUNDUP((K32/(1-SETTINGS!$B$14-SETTINGS!$B$15)+I32)/SETTINGS!$B$17,0)*SETTINGS!$B$17,ROUNDUP((SETTINGS!$B$16+I32)/SETTINGS!$B$17,0)*SETTINGS!$B$17),"")</x:f>
      </x:c>
      <x:c r="M32" s="132" t="str">
        <x:f>IF(OR(Q32="READY",Q32="REVIEW SETTINGS"),L32-I32,"")</x:f>
      </x:c>
      <x:c r="N32" s="132" t="str">
        <x:f>IF(OR(Q32="READY",Q32="REVIEW SETTINGS"),M32+ROUND(M32*SETTINGS!$B$18,2),"")</x:f>
      </x:c>
      <x:c r="O32" s="132" t="str">
        <x:f>IF(OR(Q32="READY",Q32="REVIEW SETTINGS"),M32-K32-ROUND(M32*SETTINGS!$B$15,2),"")</x:f>
      </x:c>
      <x:c r="P32" s="134" t="str">
        <x:f>IF(OR(Q32="READY",Q32="REVIEW SETTINGS"),IF(M32&gt;0,O32/M32,0),"")</x:f>
      </x:c>
      <x:c r="Q32" s="63" t="str">
        <x:f>IF(A32="","",IF(COUNTIF(SERVICES!$A$9:$A$15,B32)=0,"CHECK SERVICE",IF(OR(C32&lt;1,C32&lt;&gt;INT(C32),AND(D32&lt;&gt;"",D32&lt;=0),E32&lt;0,F32&lt;0,G32&lt;0,H32&lt;0,I32&lt;0,SETTINGS!$B$14+SETTINGS!$B$15&gt;=1,SETTINGS!$B$17&lt;=0),"CHECK INPUTS",IF(SETTINGS!$B$23&lt;&gt;"READY","REVIEW SETTINGS","READY"))))</x:f>
      </x:c>
    </x:row>
    <x:row r="33" ht="25" customHeight="1">
      <x:c r="A33" s="74"/>
      <x:c r="B33" s="74"/>
      <x:c r="C33" s="74"/>
      <x:c r="D33" s="74"/>
      <x:c r="E33" s="74"/>
      <x:c r="F33" s="74"/>
      <x:c r="G33" s="74"/>
      <x:c r="H33" s="74"/>
      <x:c r="I33" s="74"/>
      <x:c r="J33" s="63" t="str">
        <x:f>IF(OR(Q33="READY",Q33="REVIEW SETTINGS"),IF(D33="",IFERROR(VLOOKUP(B33,SERVICES!$A$9:$C$15,2,FALSE),0),D33),"")</x:f>
      </x:c>
      <x:c r="K33" s="132" t="str">
        <x:f>IF(OR(Q33="READY",Q33="REVIEW SETTINGS"),ROUND((ROUND(C33*(J33+E33)*SETTINGS!$B$10,2)+ROUND(IFERROR(VLOOKUP(B33,SERVICES!$A$9:$C$15,3,FALSE),0)+G33,2)+ROUND(F33*SETTINGS!$B$11,2)+ROUND(SETTINGS!$B$12+H33,2))+ROUND((ROUND(C33*(J33+E33)*SETTINGS!$B$10,2)+ROUND(IFERROR(VLOOKUP(B33,SERVICES!$A$9:$C$15,3,FALSE),0)+G33,2)+ROUND(F33*SETTINGS!$B$11,2)+ROUND(SETTINGS!$B$12+H33,2))*SETTINGS!$B$13,2),2),"")</x:f>
      </x:c>
      <x:c r="L33" s="132" t="str">
        <x:f>IF(OR(Q33="READY",Q33="REVIEW SETTINGS"),MAX(ROUNDUP((K33/(1-SETTINGS!$B$14-SETTINGS!$B$15)+I33)/SETTINGS!$B$17,0)*SETTINGS!$B$17,ROUNDUP((SETTINGS!$B$16+I33)/SETTINGS!$B$17,0)*SETTINGS!$B$17),"")</x:f>
      </x:c>
      <x:c r="M33" s="132" t="str">
        <x:f>IF(OR(Q33="READY",Q33="REVIEW SETTINGS"),L33-I33,"")</x:f>
      </x:c>
      <x:c r="N33" s="132" t="str">
        <x:f>IF(OR(Q33="READY",Q33="REVIEW SETTINGS"),M33+ROUND(M33*SETTINGS!$B$18,2),"")</x:f>
      </x:c>
      <x:c r="O33" s="132" t="str">
        <x:f>IF(OR(Q33="READY",Q33="REVIEW SETTINGS"),M33-K33-ROUND(M33*SETTINGS!$B$15,2),"")</x:f>
      </x:c>
      <x:c r="P33" s="134" t="str">
        <x:f>IF(OR(Q33="READY",Q33="REVIEW SETTINGS"),IF(M33&gt;0,O33/M33,0),"")</x:f>
      </x:c>
      <x:c r="Q33" s="63" t="str">
        <x:f>IF(A33="","",IF(COUNTIF(SERVICES!$A$9:$A$15,B33)=0,"CHECK SERVICE",IF(OR(C33&lt;1,C33&lt;&gt;INT(C33),AND(D33&lt;&gt;"",D33&lt;=0),E33&lt;0,F33&lt;0,G33&lt;0,H33&lt;0,I33&lt;0,SETTINGS!$B$14+SETTINGS!$B$15&gt;=1,SETTINGS!$B$17&lt;=0),"CHECK INPUTS",IF(SETTINGS!$B$23&lt;&gt;"READY","REVIEW SETTINGS","READY"))))</x:f>
      </x:c>
    </x:row>
    <x:row r="34" ht="25" customHeight="1">
      <x:c r="A34" s="74"/>
      <x:c r="B34" s="74"/>
      <x:c r="C34" s="74"/>
      <x:c r="D34" s="74"/>
      <x:c r="E34" s="74"/>
      <x:c r="F34" s="74"/>
      <x:c r="G34" s="74"/>
      <x:c r="H34" s="74"/>
      <x:c r="I34" s="74"/>
      <x:c r="J34" s="63" t="str">
        <x:f>IF(OR(Q34="READY",Q34="REVIEW SETTINGS"),IF(D34="",IFERROR(VLOOKUP(B34,SERVICES!$A$9:$C$15,2,FALSE),0),D34),"")</x:f>
      </x:c>
      <x:c r="K34" s="132" t="str">
        <x:f>IF(OR(Q34="READY",Q34="REVIEW SETTINGS"),ROUND((ROUND(C34*(J34+E34)*SETTINGS!$B$10,2)+ROUND(IFERROR(VLOOKUP(B34,SERVICES!$A$9:$C$15,3,FALSE),0)+G34,2)+ROUND(F34*SETTINGS!$B$11,2)+ROUND(SETTINGS!$B$12+H34,2))+ROUND((ROUND(C34*(J34+E34)*SETTINGS!$B$10,2)+ROUND(IFERROR(VLOOKUP(B34,SERVICES!$A$9:$C$15,3,FALSE),0)+G34,2)+ROUND(F34*SETTINGS!$B$11,2)+ROUND(SETTINGS!$B$12+H34,2))*SETTINGS!$B$13,2),2),"")</x:f>
      </x:c>
      <x:c r="L34" s="132" t="str">
        <x:f>IF(OR(Q34="READY",Q34="REVIEW SETTINGS"),MAX(ROUNDUP((K34/(1-SETTINGS!$B$14-SETTINGS!$B$15)+I34)/SETTINGS!$B$17,0)*SETTINGS!$B$17,ROUNDUP((SETTINGS!$B$16+I34)/SETTINGS!$B$17,0)*SETTINGS!$B$17),"")</x:f>
      </x:c>
      <x:c r="M34" s="132" t="str">
        <x:f>IF(OR(Q34="READY",Q34="REVIEW SETTINGS"),L34-I34,"")</x:f>
      </x:c>
      <x:c r="N34" s="132" t="str">
        <x:f>IF(OR(Q34="READY",Q34="REVIEW SETTINGS"),M34+ROUND(M34*SETTINGS!$B$18,2),"")</x:f>
      </x:c>
      <x:c r="O34" s="132" t="str">
        <x:f>IF(OR(Q34="READY",Q34="REVIEW SETTINGS"),M34-K34-ROUND(M34*SETTINGS!$B$15,2),"")</x:f>
      </x:c>
      <x:c r="P34" s="134" t="str">
        <x:f>IF(OR(Q34="READY",Q34="REVIEW SETTINGS"),IF(M34&gt;0,O34/M34,0),"")</x:f>
      </x:c>
      <x:c r="Q34" s="63" t="str">
        <x:f>IF(A34="","",IF(COUNTIF(SERVICES!$A$9:$A$15,B34)=0,"CHECK SERVICE",IF(OR(C34&lt;1,C34&lt;&gt;INT(C34),AND(D34&lt;&gt;"",D34&lt;=0),E34&lt;0,F34&lt;0,G34&lt;0,H34&lt;0,I34&lt;0,SETTINGS!$B$14+SETTINGS!$B$15&gt;=1,SETTINGS!$B$17&lt;=0),"CHECK INPUTS",IF(SETTINGS!$B$23&lt;&gt;"READY","REVIEW SETTINGS","READY"))))</x:f>
      </x:c>
    </x:row>
  </x:sheetData>
  <x:mergeCells>
    <x:mergeCell ref="A1:Q2"/>
    <x:mergeCell ref="A4:Q5"/>
  </x:mergeCells>
  <x:dataValidations count="1">
    <x:dataValidation type="list" sqref="B10:B34">
      <x:formula1>"Standard home cleaning,Deep home cleaning,Move-in / move-out,Small office cleaning,Apartment turnover,Recurring maintenance,Interior window cleaning"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26" hidden="0" customWidth="1"/>
    <x:col min="4" max="4" width="17" hidden="0" customWidth="1"/>
    <x:col min="5" max="5" width="20" hidden="0" customWidth="1"/>
    <x:col min="6" max="6" width="18" hidden="0" customWidth="1"/>
    <x:col min="7" max="7" width="18" hidden="0" customWidth="1"/>
    <x:col min="8" max="8" width="16" hidden="0" customWidth="1"/>
    <x:col min="9" max="9" width="20" hidden="0" customWidth="1"/>
    <x:col min="10" max="10" width="18" hidden="0" customWidth="1"/>
    <x:col min="11" max="11" width="18" hidden="0" customWidth="1"/>
    <x:col min="12" max="12" width="15" hidden="0" customWidth="1"/>
    <x:col min="13" max="13" width="18" hidden="0" customWidth="1"/>
    <x:col min="14" max="14" width="35" hidden="0" customWidth="1"/>
  </x:cols>
  <x:sheetData>
    <x:row r="1" ht="28" customHeight="1">
      <x:c r="A1" s="53" t="str">
        <x:v>JOB LOG  /  PLAN VERSUS ACTUAL CONTRIBUTION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</x:row>
    <x:row r="2" ht="28" customHeight="1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</x:row>
    <x:row r="4" ht="30" customHeight="1">
      <x:c r="A4" s="45" t="str">
        <x:v>After completing a real job, manually enter actual sales (before tax), all paid labor hours, supplies, kilometers and other expenses. Estimates are NOT imported automatically and should be copied by ID from a reviewed quote.</x:v>
      </x:c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5"/>
      <x:c r="M4" s="45"/>
      <x:c r="N4" s="45"/>
    </x:row>
    <x:row r="5" ht="30" customHeight="1">
      <x:c r="A5" s="45"/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</x:row>
    <x:row r="9" ht="34" customHeight="1">
      <x:c r="A9" s="58" t="str">
        <x:v>Job ID</x:v>
      </x:c>
      <x:c r="B9" s="58" t="str">
        <x:v>Job date YYYY-MM-DD</x:v>
      </x:c>
      <x:c r="C9" s="58" t="str">
        <x:v>Service</x:v>
      </x:c>
      <x:c r="D9" s="58" t="str">
        <x:v>Quoted ex tax CAD</x:v>
      </x:c>
      <x:c r="E9" s="58" t="str">
        <x:v>Collected ex tax CAD</x:v>
      </x:c>
      <x:c r="F9" s="58" t="str">
        <x:v>Actual total paid labor hours</x:v>
      </x:c>
      <x:c r="G9" s="58" t="str">
        <x:v>Actual supplies CAD</x:v>
      </x:c>
      <x:c r="H9" s="58" t="str">
        <x:v>Actual vehicle km</x:v>
      </x:c>
      <x:c r="I9" s="58" t="str">
        <x:v>Other actual costs CAD</x:v>
      </x:c>
      <x:c r="J9" s="58" t="str">
        <x:v>Observed job cost + fee CAD</x:v>
      </x:c>
      <x:c r="K9" s="58" t="str">
        <x:v>Contribution CAD</x:v>
      </x:c>
      <x:c r="L9" s="58" t="str">
        <x:v>Contribution margin %</x:v>
      </x:c>
      <x:c r="M9" s="58" t="str">
        <x:v>Sales vs quote CAD</x:v>
      </x:c>
      <x:c r="N9" s="58" t="str">
        <x:v>Notes</x:v>
      </x:c>
    </x:row>
    <x:row r="10" ht="25" customHeight="1">
      <x:c r="A10" s="74"/>
      <x:c r="B10" s="74"/>
      <x:c r="C10" s="74"/>
      <x:c r="D10" s="78"/>
      <x:c r="E10" s="78"/>
      <x:c r="F10" s="74"/>
      <x:c r="G10" s="78"/>
      <x:c r="H10" s="74"/>
      <x:c r="I10" s="78"/>
      <x:c r="J10" s="136" t="str">
        <x:f>IF(A10="","",ROUND(F10*SETTINGS!$B$10+G10+H10*SETTINGS!$B$11+I10+SETTINGS!$B$12+E10*SETTINGS!$B$15,2))</x:f>
      </x:c>
      <x:c r="K10" s="136" t="str">
        <x:f>IF(A10="","",E10-J10)</x:f>
      </x:c>
      <x:c r="L10" s="138" t="str">
        <x:f>IF(A10="","",IF(E10&gt;0,K10/E10,0))</x:f>
      </x:c>
      <x:c r="M10" s="136" t="str">
        <x:f>IF(A10="","",E10-D10)</x:f>
      </x:c>
      <x:c r="N10" s="74"/>
    </x:row>
    <x:row r="11" ht="25" customHeight="1">
      <x:c r="A11" s="74"/>
      <x:c r="B11" s="74"/>
      <x:c r="C11" s="74"/>
      <x:c r="D11" s="78"/>
      <x:c r="E11" s="78"/>
      <x:c r="F11" s="74"/>
      <x:c r="G11" s="78"/>
      <x:c r="H11" s="74"/>
      <x:c r="I11" s="78"/>
      <x:c r="J11" s="136" t="str">
        <x:f>IF(A11="","",ROUND(F11*SETTINGS!$B$10+G11+H11*SETTINGS!$B$11+I11+SETTINGS!$B$12+E11*SETTINGS!$B$15,2))</x:f>
      </x:c>
      <x:c r="K11" s="136" t="str">
        <x:f>IF(A11="","",E11-J11)</x:f>
      </x:c>
      <x:c r="L11" s="138" t="str">
        <x:f>IF(A11="","",IF(E11&gt;0,K11/E11,0))</x:f>
      </x:c>
      <x:c r="M11" s="136" t="str">
        <x:f>IF(A11="","",E11-D11)</x:f>
      </x:c>
      <x:c r="N11" s="74"/>
    </x:row>
    <x:row r="12" ht="25" customHeight="1">
      <x:c r="A12" s="74"/>
      <x:c r="B12" s="74"/>
      <x:c r="C12" s="74"/>
      <x:c r="D12" s="78"/>
      <x:c r="E12" s="78"/>
      <x:c r="F12" s="74"/>
      <x:c r="G12" s="78"/>
      <x:c r="H12" s="74"/>
      <x:c r="I12" s="78"/>
      <x:c r="J12" s="136" t="str">
        <x:f>IF(A12="","",ROUND(F12*SETTINGS!$B$10+G12+H12*SETTINGS!$B$11+I12+SETTINGS!$B$12+E12*SETTINGS!$B$15,2))</x:f>
      </x:c>
      <x:c r="K12" s="136" t="str">
        <x:f>IF(A12="","",E12-J12)</x:f>
      </x:c>
      <x:c r="L12" s="138" t="str">
        <x:f>IF(A12="","",IF(E12&gt;0,K12/E12,0))</x:f>
      </x:c>
      <x:c r="M12" s="136" t="str">
        <x:f>IF(A12="","",E12-D12)</x:f>
      </x:c>
      <x:c r="N12" s="74"/>
    </x:row>
    <x:row r="13" ht="25" customHeight="1">
      <x:c r="A13" s="74"/>
      <x:c r="B13" s="74"/>
      <x:c r="C13" s="74"/>
      <x:c r="D13" s="78"/>
      <x:c r="E13" s="78"/>
      <x:c r="F13" s="74"/>
      <x:c r="G13" s="78"/>
      <x:c r="H13" s="74"/>
      <x:c r="I13" s="78"/>
      <x:c r="J13" s="136" t="str">
        <x:f>IF(A13="","",ROUND(F13*SETTINGS!$B$10+G13+H13*SETTINGS!$B$11+I13+SETTINGS!$B$12+E13*SETTINGS!$B$15,2))</x:f>
      </x:c>
      <x:c r="K13" s="136" t="str">
        <x:f>IF(A13="","",E13-J13)</x:f>
      </x:c>
      <x:c r="L13" s="138" t="str">
        <x:f>IF(A13="","",IF(E13&gt;0,K13/E13,0))</x:f>
      </x:c>
      <x:c r="M13" s="136" t="str">
        <x:f>IF(A13="","",E13-D13)</x:f>
      </x:c>
      <x:c r="N13" s="74"/>
    </x:row>
    <x:row r="14" ht="25" customHeight="1">
      <x:c r="A14" s="74"/>
      <x:c r="B14" s="74"/>
      <x:c r="C14" s="74"/>
      <x:c r="D14" s="78"/>
      <x:c r="E14" s="78"/>
      <x:c r="F14" s="74"/>
      <x:c r="G14" s="78"/>
      <x:c r="H14" s="74"/>
      <x:c r="I14" s="78"/>
      <x:c r="J14" s="136" t="str">
        <x:f>IF(A14="","",ROUND(F14*SETTINGS!$B$10+G14+H14*SETTINGS!$B$11+I14+SETTINGS!$B$12+E14*SETTINGS!$B$15,2))</x:f>
      </x:c>
      <x:c r="K14" s="136" t="str">
        <x:f>IF(A14="","",E14-J14)</x:f>
      </x:c>
      <x:c r="L14" s="138" t="str">
        <x:f>IF(A14="","",IF(E14&gt;0,K14/E14,0))</x:f>
      </x:c>
      <x:c r="M14" s="136" t="str">
        <x:f>IF(A14="","",E14-D14)</x:f>
      </x:c>
      <x:c r="N14" s="74"/>
    </x:row>
    <x:row r="15" ht="25" customHeight="1">
      <x:c r="A15" s="74"/>
      <x:c r="B15" s="74"/>
      <x:c r="C15" s="74"/>
      <x:c r="D15" s="78"/>
      <x:c r="E15" s="78"/>
      <x:c r="F15" s="74"/>
      <x:c r="G15" s="78"/>
      <x:c r="H15" s="74"/>
      <x:c r="I15" s="78"/>
      <x:c r="J15" s="136" t="str">
        <x:f>IF(A15="","",ROUND(F15*SETTINGS!$B$10+G15+H15*SETTINGS!$B$11+I15+SETTINGS!$B$12+E15*SETTINGS!$B$15,2))</x:f>
      </x:c>
      <x:c r="K15" s="136" t="str">
        <x:f>IF(A15="","",E15-J15)</x:f>
      </x:c>
      <x:c r="L15" s="138" t="str">
        <x:f>IF(A15="","",IF(E15&gt;0,K15/E15,0))</x:f>
      </x:c>
      <x:c r="M15" s="136" t="str">
        <x:f>IF(A15="","",E15-D15)</x:f>
      </x:c>
      <x:c r="N15" s="74"/>
    </x:row>
    <x:row r="16" ht="25" customHeight="1">
      <x:c r="A16" s="74"/>
      <x:c r="B16" s="74"/>
      <x:c r="C16" s="74"/>
      <x:c r="D16" s="78"/>
      <x:c r="E16" s="78"/>
      <x:c r="F16" s="74"/>
      <x:c r="G16" s="78"/>
      <x:c r="H16" s="74"/>
      <x:c r="I16" s="78"/>
      <x:c r="J16" s="136" t="str">
        <x:f>IF(A16="","",ROUND(F16*SETTINGS!$B$10+G16+H16*SETTINGS!$B$11+I16+SETTINGS!$B$12+E16*SETTINGS!$B$15,2))</x:f>
      </x:c>
      <x:c r="K16" s="136" t="str">
        <x:f>IF(A16="","",E16-J16)</x:f>
      </x:c>
      <x:c r="L16" s="138" t="str">
        <x:f>IF(A16="","",IF(E16&gt;0,K16/E16,0))</x:f>
      </x:c>
      <x:c r="M16" s="136" t="str">
        <x:f>IF(A16="","",E16-D16)</x:f>
      </x:c>
      <x:c r="N16" s="74"/>
    </x:row>
    <x:row r="17" ht="25" customHeight="1">
      <x:c r="A17" s="74"/>
      <x:c r="B17" s="74"/>
      <x:c r="C17" s="74"/>
      <x:c r="D17" s="78"/>
      <x:c r="E17" s="78"/>
      <x:c r="F17" s="74"/>
      <x:c r="G17" s="78"/>
      <x:c r="H17" s="74"/>
      <x:c r="I17" s="78"/>
      <x:c r="J17" s="136" t="str">
        <x:f>IF(A17="","",ROUND(F17*SETTINGS!$B$10+G17+H17*SETTINGS!$B$11+I17+SETTINGS!$B$12+E17*SETTINGS!$B$15,2))</x:f>
      </x:c>
      <x:c r="K17" s="136" t="str">
        <x:f>IF(A17="","",E17-J17)</x:f>
      </x:c>
      <x:c r="L17" s="138" t="str">
        <x:f>IF(A17="","",IF(E17&gt;0,K17/E17,0))</x:f>
      </x:c>
      <x:c r="M17" s="136" t="str">
        <x:f>IF(A17="","",E17-D17)</x:f>
      </x:c>
      <x:c r="N17" s="74"/>
    </x:row>
    <x:row r="18" ht="25" customHeight="1">
      <x:c r="A18" s="74"/>
      <x:c r="B18" s="74"/>
      <x:c r="C18" s="74"/>
      <x:c r="D18" s="78"/>
      <x:c r="E18" s="78"/>
      <x:c r="F18" s="74"/>
      <x:c r="G18" s="78"/>
      <x:c r="H18" s="74"/>
      <x:c r="I18" s="78"/>
      <x:c r="J18" s="136" t="str">
        <x:f>IF(A18="","",ROUND(F18*SETTINGS!$B$10+G18+H18*SETTINGS!$B$11+I18+SETTINGS!$B$12+E18*SETTINGS!$B$15,2))</x:f>
      </x:c>
      <x:c r="K18" s="136" t="str">
        <x:f>IF(A18="","",E18-J18)</x:f>
      </x:c>
      <x:c r="L18" s="138" t="str">
        <x:f>IF(A18="","",IF(E18&gt;0,K18/E18,0))</x:f>
      </x:c>
      <x:c r="M18" s="136" t="str">
        <x:f>IF(A18="","",E18-D18)</x:f>
      </x:c>
      <x:c r="N18" s="74"/>
    </x:row>
    <x:row r="19" ht="25" customHeight="1">
      <x:c r="A19" s="74"/>
      <x:c r="B19" s="74"/>
      <x:c r="C19" s="74"/>
      <x:c r="D19" s="78"/>
      <x:c r="E19" s="78"/>
      <x:c r="F19" s="74"/>
      <x:c r="G19" s="78"/>
      <x:c r="H19" s="74"/>
      <x:c r="I19" s="78"/>
      <x:c r="J19" s="136" t="str">
        <x:f>IF(A19="","",ROUND(F19*SETTINGS!$B$10+G19+H19*SETTINGS!$B$11+I19+SETTINGS!$B$12+E19*SETTINGS!$B$15,2))</x:f>
      </x:c>
      <x:c r="K19" s="136" t="str">
        <x:f>IF(A19="","",E19-J19)</x:f>
      </x:c>
      <x:c r="L19" s="138" t="str">
        <x:f>IF(A19="","",IF(E19&gt;0,K19/E19,0))</x:f>
      </x:c>
      <x:c r="M19" s="136" t="str">
        <x:f>IF(A19="","",E19-D19)</x:f>
      </x:c>
      <x:c r="N19" s="74"/>
    </x:row>
    <x:row r="20" ht="25" customHeight="1">
      <x:c r="A20" s="74"/>
      <x:c r="B20" s="74"/>
      <x:c r="C20" s="74"/>
      <x:c r="D20" s="78"/>
      <x:c r="E20" s="78"/>
      <x:c r="F20" s="74"/>
      <x:c r="G20" s="78"/>
      <x:c r="H20" s="74"/>
      <x:c r="I20" s="78"/>
      <x:c r="J20" s="136" t="str">
        <x:f>IF(A20="","",ROUND(F20*SETTINGS!$B$10+G20+H20*SETTINGS!$B$11+I20+SETTINGS!$B$12+E20*SETTINGS!$B$15,2))</x:f>
      </x:c>
      <x:c r="K20" s="136" t="str">
        <x:f>IF(A20="","",E20-J20)</x:f>
      </x:c>
      <x:c r="L20" s="138" t="str">
        <x:f>IF(A20="","",IF(E20&gt;0,K20/E20,0))</x:f>
      </x:c>
      <x:c r="M20" s="136" t="str">
        <x:f>IF(A20="","",E20-D20)</x:f>
      </x:c>
      <x:c r="N20" s="74"/>
    </x:row>
    <x:row r="21" ht="25" customHeight="1">
      <x:c r="A21" s="74"/>
      <x:c r="B21" s="74"/>
      <x:c r="C21" s="74"/>
      <x:c r="D21" s="78"/>
      <x:c r="E21" s="78"/>
      <x:c r="F21" s="74"/>
      <x:c r="G21" s="78"/>
      <x:c r="H21" s="74"/>
      <x:c r="I21" s="78"/>
      <x:c r="J21" s="136" t="str">
        <x:f>IF(A21="","",ROUND(F21*SETTINGS!$B$10+G21+H21*SETTINGS!$B$11+I21+SETTINGS!$B$12+E21*SETTINGS!$B$15,2))</x:f>
      </x:c>
      <x:c r="K21" s="136" t="str">
        <x:f>IF(A21="","",E21-J21)</x:f>
      </x:c>
      <x:c r="L21" s="138" t="str">
        <x:f>IF(A21="","",IF(E21&gt;0,K21/E21,0))</x:f>
      </x:c>
      <x:c r="M21" s="136" t="str">
        <x:f>IF(A21="","",E21-D21)</x:f>
      </x:c>
      <x:c r="N21" s="74"/>
    </x:row>
    <x:row r="22" ht="25" customHeight="1">
      <x:c r="A22" s="74"/>
      <x:c r="B22" s="74"/>
      <x:c r="C22" s="74"/>
      <x:c r="D22" s="78"/>
      <x:c r="E22" s="78"/>
      <x:c r="F22" s="74"/>
      <x:c r="G22" s="78"/>
      <x:c r="H22" s="74"/>
      <x:c r="I22" s="78"/>
      <x:c r="J22" s="136" t="str">
        <x:f>IF(A22="","",ROUND(F22*SETTINGS!$B$10+G22+H22*SETTINGS!$B$11+I22+SETTINGS!$B$12+E22*SETTINGS!$B$15,2))</x:f>
      </x:c>
      <x:c r="K22" s="136" t="str">
        <x:f>IF(A22="","",E22-J22)</x:f>
      </x:c>
      <x:c r="L22" s="138" t="str">
        <x:f>IF(A22="","",IF(E22&gt;0,K22/E22,0))</x:f>
      </x:c>
      <x:c r="M22" s="136" t="str">
        <x:f>IF(A22="","",E22-D22)</x:f>
      </x:c>
      <x:c r="N22" s="74"/>
    </x:row>
    <x:row r="23" ht="25" customHeight="1">
      <x:c r="A23" s="74"/>
      <x:c r="B23" s="74"/>
      <x:c r="C23" s="74"/>
      <x:c r="D23" s="78"/>
      <x:c r="E23" s="78"/>
      <x:c r="F23" s="74"/>
      <x:c r="G23" s="78"/>
      <x:c r="H23" s="74"/>
      <x:c r="I23" s="78"/>
      <x:c r="J23" s="136" t="str">
        <x:f>IF(A23="","",ROUND(F23*SETTINGS!$B$10+G23+H23*SETTINGS!$B$11+I23+SETTINGS!$B$12+E23*SETTINGS!$B$15,2))</x:f>
      </x:c>
      <x:c r="K23" s="136" t="str">
        <x:f>IF(A23="","",E23-J23)</x:f>
      </x:c>
      <x:c r="L23" s="138" t="str">
        <x:f>IF(A23="","",IF(E23&gt;0,K23/E23,0))</x:f>
      </x:c>
      <x:c r="M23" s="136" t="str">
        <x:f>IF(A23="","",E23-D23)</x:f>
      </x:c>
      <x:c r="N23" s="74"/>
    </x:row>
    <x:row r="24" ht="25" customHeight="1">
      <x:c r="A24" s="74"/>
      <x:c r="B24" s="74"/>
      <x:c r="C24" s="74"/>
      <x:c r="D24" s="78"/>
      <x:c r="E24" s="78"/>
      <x:c r="F24" s="74"/>
      <x:c r="G24" s="78"/>
      <x:c r="H24" s="74"/>
      <x:c r="I24" s="78"/>
      <x:c r="J24" s="136" t="str">
        <x:f>IF(A24="","",ROUND(F24*SETTINGS!$B$10+G24+H24*SETTINGS!$B$11+I24+SETTINGS!$B$12+E24*SETTINGS!$B$15,2))</x:f>
      </x:c>
      <x:c r="K24" s="136" t="str">
        <x:f>IF(A24="","",E24-J24)</x:f>
      </x:c>
      <x:c r="L24" s="138" t="str">
        <x:f>IF(A24="","",IF(E24&gt;0,K24/E24,0))</x:f>
      </x:c>
      <x:c r="M24" s="136" t="str">
        <x:f>IF(A24="","",E24-D24)</x:f>
      </x:c>
      <x:c r="N24" s="74"/>
    </x:row>
    <x:row r="25" ht="25" customHeight="1">
      <x:c r="A25" s="74"/>
      <x:c r="B25" s="74"/>
      <x:c r="C25" s="74"/>
      <x:c r="D25" s="78"/>
      <x:c r="E25" s="78"/>
      <x:c r="F25" s="74"/>
      <x:c r="G25" s="78"/>
      <x:c r="H25" s="74"/>
      <x:c r="I25" s="78"/>
      <x:c r="J25" s="136" t="str">
        <x:f>IF(A25="","",ROUND(F25*SETTINGS!$B$10+G25+H25*SETTINGS!$B$11+I25+SETTINGS!$B$12+E25*SETTINGS!$B$15,2))</x:f>
      </x:c>
      <x:c r="K25" s="136" t="str">
        <x:f>IF(A25="","",E25-J25)</x:f>
      </x:c>
      <x:c r="L25" s="138" t="str">
        <x:f>IF(A25="","",IF(E25&gt;0,K25/E25,0))</x:f>
      </x:c>
      <x:c r="M25" s="136" t="str">
        <x:f>IF(A25="","",E25-D25)</x:f>
      </x:c>
      <x:c r="N25" s="74"/>
    </x:row>
    <x:row r="26" ht="25" customHeight="1">
      <x:c r="A26" s="74"/>
      <x:c r="B26" s="74"/>
      <x:c r="C26" s="74"/>
      <x:c r="D26" s="78"/>
      <x:c r="E26" s="78"/>
      <x:c r="F26" s="74"/>
      <x:c r="G26" s="78"/>
      <x:c r="H26" s="74"/>
      <x:c r="I26" s="78"/>
      <x:c r="J26" s="136" t="str">
        <x:f>IF(A26="","",ROUND(F26*SETTINGS!$B$10+G26+H26*SETTINGS!$B$11+I26+SETTINGS!$B$12+E26*SETTINGS!$B$15,2))</x:f>
      </x:c>
      <x:c r="K26" s="136" t="str">
        <x:f>IF(A26="","",E26-J26)</x:f>
      </x:c>
      <x:c r="L26" s="138" t="str">
        <x:f>IF(A26="","",IF(E26&gt;0,K26/E26,0))</x:f>
      </x:c>
      <x:c r="M26" s="136" t="str">
        <x:f>IF(A26="","",E26-D26)</x:f>
      </x:c>
      <x:c r="N26" s="74"/>
    </x:row>
    <x:row r="27" ht="25" customHeight="1">
      <x:c r="A27" s="74"/>
      <x:c r="B27" s="74"/>
      <x:c r="C27" s="74"/>
      <x:c r="D27" s="78"/>
      <x:c r="E27" s="78"/>
      <x:c r="F27" s="74"/>
      <x:c r="G27" s="78"/>
      <x:c r="H27" s="74"/>
      <x:c r="I27" s="78"/>
      <x:c r="J27" s="136" t="str">
        <x:f>IF(A27="","",ROUND(F27*SETTINGS!$B$10+G27+H27*SETTINGS!$B$11+I27+SETTINGS!$B$12+E27*SETTINGS!$B$15,2))</x:f>
      </x:c>
      <x:c r="K27" s="136" t="str">
        <x:f>IF(A27="","",E27-J27)</x:f>
      </x:c>
      <x:c r="L27" s="138" t="str">
        <x:f>IF(A27="","",IF(E27&gt;0,K27/E27,0))</x:f>
      </x:c>
      <x:c r="M27" s="136" t="str">
        <x:f>IF(A27="","",E27-D27)</x:f>
      </x:c>
      <x:c r="N27" s="74"/>
    </x:row>
    <x:row r="28" ht="25" customHeight="1">
      <x:c r="A28" s="74"/>
      <x:c r="B28" s="74"/>
      <x:c r="C28" s="74"/>
      <x:c r="D28" s="78"/>
      <x:c r="E28" s="78"/>
      <x:c r="F28" s="74"/>
      <x:c r="G28" s="78"/>
      <x:c r="H28" s="74"/>
      <x:c r="I28" s="78"/>
      <x:c r="J28" s="136" t="str">
        <x:f>IF(A28="","",ROUND(F28*SETTINGS!$B$10+G28+H28*SETTINGS!$B$11+I28+SETTINGS!$B$12+E28*SETTINGS!$B$15,2))</x:f>
      </x:c>
      <x:c r="K28" s="136" t="str">
        <x:f>IF(A28="","",E28-J28)</x:f>
      </x:c>
      <x:c r="L28" s="138" t="str">
        <x:f>IF(A28="","",IF(E28&gt;0,K28/E28,0))</x:f>
      </x:c>
      <x:c r="M28" s="136" t="str">
        <x:f>IF(A28="","",E28-D28)</x:f>
      </x:c>
      <x:c r="N28" s="74"/>
    </x:row>
    <x:row r="29" ht="25" customHeight="1">
      <x:c r="A29" s="74"/>
      <x:c r="B29" s="74"/>
      <x:c r="C29" s="74"/>
      <x:c r="D29" s="78"/>
      <x:c r="E29" s="78"/>
      <x:c r="F29" s="74"/>
      <x:c r="G29" s="78"/>
      <x:c r="H29" s="74"/>
      <x:c r="I29" s="78"/>
      <x:c r="J29" s="136" t="str">
        <x:f>IF(A29="","",ROUND(F29*SETTINGS!$B$10+G29+H29*SETTINGS!$B$11+I29+SETTINGS!$B$12+E29*SETTINGS!$B$15,2))</x:f>
      </x:c>
      <x:c r="K29" s="136" t="str">
        <x:f>IF(A29="","",E29-J29)</x:f>
      </x:c>
      <x:c r="L29" s="138" t="str">
        <x:f>IF(A29="","",IF(E29&gt;0,K29/E29,0))</x:f>
      </x:c>
      <x:c r="M29" s="136" t="str">
        <x:f>IF(A29="","",E29-D29)</x:f>
      </x:c>
      <x:c r="N29" s="74"/>
    </x:row>
    <x:row r="30" ht="25" customHeight="1">
      <x:c r="A30" s="74"/>
      <x:c r="B30" s="74"/>
      <x:c r="C30" s="74"/>
      <x:c r="D30" s="78"/>
      <x:c r="E30" s="78"/>
      <x:c r="F30" s="74"/>
      <x:c r="G30" s="78"/>
      <x:c r="H30" s="74"/>
      <x:c r="I30" s="78"/>
      <x:c r="J30" s="136" t="str">
        <x:f>IF(A30="","",ROUND(F30*SETTINGS!$B$10+G30+H30*SETTINGS!$B$11+I30+SETTINGS!$B$12+E30*SETTINGS!$B$15,2))</x:f>
      </x:c>
      <x:c r="K30" s="136" t="str">
        <x:f>IF(A30="","",E30-J30)</x:f>
      </x:c>
      <x:c r="L30" s="138" t="str">
        <x:f>IF(A30="","",IF(E30&gt;0,K30/E30,0))</x:f>
      </x:c>
      <x:c r="M30" s="136" t="str">
        <x:f>IF(A30="","",E30-D30)</x:f>
      </x:c>
      <x:c r="N30" s="74"/>
    </x:row>
    <x:row r="31" ht="25" customHeight="1">
      <x:c r="A31" s="74"/>
      <x:c r="B31" s="74"/>
      <x:c r="C31" s="74"/>
      <x:c r="D31" s="78"/>
      <x:c r="E31" s="78"/>
      <x:c r="F31" s="74"/>
      <x:c r="G31" s="78"/>
      <x:c r="H31" s="74"/>
      <x:c r="I31" s="78"/>
      <x:c r="J31" s="136" t="str">
        <x:f>IF(A31="","",ROUND(F31*SETTINGS!$B$10+G31+H31*SETTINGS!$B$11+I31+SETTINGS!$B$12+E31*SETTINGS!$B$15,2))</x:f>
      </x:c>
      <x:c r="K31" s="136" t="str">
        <x:f>IF(A31="","",E31-J31)</x:f>
      </x:c>
      <x:c r="L31" s="138" t="str">
        <x:f>IF(A31="","",IF(E31&gt;0,K31/E31,0))</x:f>
      </x:c>
      <x:c r="M31" s="136" t="str">
        <x:f>IF(A31="","",E31-D31)</x:f>
      </x:c>
      <x:c r="N31" s="74"/>
    </x:row>
    <x:row r="32" ht="25" customHeight="1">
      <x:c r="A32" s="74"/>
      <x:c r="B32" s="74"/>
      <x:c r="C32" s="74"/>
      <x:c r="D32" s="78"/>
      <x:c r="E32" s="78"/>
      <x:c r="F32" s="74"/>
      <x:c r="G32" s="78"/>
      <x:c r="H32" s="74"/>
      <x:c r="I32" s="78"/>
      <x:c r="J32" s="136" t="str">
        <x:f>IF(A32="","",ROUND(F32*SETTINGS!$B$10+G32+H32*SETTINGS!$B$11+I32+SETTINGS!$B$12+E32*SETTINGS!$B$15,2))</x:f>
      </x:c>
      <x:c r="K32" s="136" t="str">
        <x:f>IF(A32="","",E32-J32)</x:f>
      </x:c>
      <x:c r="L32" s="138" t="str">
        <x:f>IF(A32="","",IF(E32&gt;0,K32/E32,0))</x:f>
      </x:c>
      <x:c r="M32" s="136" t="str">
        <x:f>IF(A32="","",E32-D32)</x:f>
      </x:c>
      <x:c r="N32" s="74"/>
    </x:row>
    <x:row r="33" ht="25" customHeight="1">
      <x:c r="A33" s="74"/>
      <x:c r="B33" s="74"/>
      <x:c r="C33" s="74"/>
      <x:c r="D33" s="78"/>
      <x:c r="E33" s="78"/>
      <x:c r="F33" s="74"/>
      <x:c r="G33" s="78"/>
      <x:c r="H33" s="74"/>
      <x:c r="I33" s="78"/>
      <x:c r="J33" s="136" t="str">
        <x:f>IF(A33="","",ROUND(F33*SETTINGS!$B$10+G33+H33*SETTINGS!$B$11+I33+SETTINGS!$B$12+E33*SETTINGS!$B$15,2))</x:f>
      </x:c>
      <x:c r="K33" s="136" t="str">
        <x:f>IF(A33="","",E33-J33)</x:f>
      </x:c>
      <x:c r="L33" s="138" t="str">
        <x:f>IF(A33="","",IF(E33&gt;0,K33/E33,0))</x:f>
      </x:c>
      <x:c r="M33" s="136" t="str">
        <x:f>IF(A33="","",E33-D33)</x:f>
      </x:c>
      <x:c r="N33" s="74"/>
    </x:row>
    <x:row r="34" ht="25" customHeight="1">
      <x:c r="A34" s="74"/>
      <x:c r="B34" s="74"/>
      <x:c r="C34" s="74"/>
      <x:c r="D34" s="78"/>
      <x:c r="E34" s="78"/>
      <x:c r="F34" s="74"/>
      <x:c r="G34" s="78"/>
      <x:c r="H34" s="74"/>
      <x:c r="I34" s="78"/>
      <x:c r="J34" s="136" t="str">
        <x:f>IF(A34="","",ROUND(F34*SETTINGS!$B$10+G34+H34*SETTINGS!$B$11+I34+SETTINGS!$B$12+E34*SETTINGS!$B$15,2))</x:f>
      </x:c>
      <x:c r="K34" s="136" t="str">
        <x:f>IF(A34="","",E34-J34)</x:f>
      </x:c>
      <x:c r="L34" s="138" t="str">
        <x:f>IF(A34="","",IF(E34&gt;0,K34/E34,0))</x:f>
      </x:c>
      <x:c r="M34" s="136" t="str">
        <x:f>IF(A34="","",E34-D34)</x:f>
      </x:c>
      <x:c r="N34" s="74"/>
    </x:row>
  </x:sheetData>
  <x:mergeCells>
    <x:mergeCell ref="A1:N2"/>
    <x:mergeCell ref="A4:N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4" hidden="0" customWidth="1"/>
    <x:col min="3" max="3" width="23" hidden="0" customWidth="1"/>
    <x:col min="4" max="4" width="61" hidden="0" customWidth="1"/>
    <x:col min="5" max="5" width="12" hidden="0" customWidth="1"/>
    <x:col min="6" max="6" width="12" hidden="0" customWidth="1"/>
    <x:col min="7" max="7" width="15" hidden="0" customWidth="1"/>
    <x:col min="8" max="8" width="15" hidden="0" customWidth="1"/>
  </x:cols>
  <x:sheetData>
    <x:row r="1" ht="28" customHeight="1">
      <x:c r="A1" s="53" t="str">
        <x:v>SERVICE CATALOG  /  ADJUST TO YOUR ACTUAL WORK</x:v>
      </x:c>
      <x:c r="B1" s="53"/>
      <x:c r="C1" s="53"/>
      <x:c r="D1" s="53"/>
      <x:c r="E1" s="53"/>
      <x:c r="F1" s="53"/>
      <x:c r="G1" s="53"/>
      <x:c r="H1" s="53"/>
    </x:row>
    <x:row r="2" ht="28" customHeight="1">
      <x:c r="A2" s="53"/>
      <x:c r="B2" s="53"/>
      <x:c r="C2" s="53"/>
      <x:c r="D2" s="53"/>
      <x:c r="E2" s="53"/>
      <x:c r="F2" s="53"/>
      <x:c r="G2" s="53"/>
      <x:c r="H2" s="53"/>
    </x:row>
    <x:row r="4" ht="30" customHeight="1">
      <x:c r="A4" s="45" t="str">
        <x:v>Default hours are PER EMPLOYEE on site; two employees each working 3 hours equals SIX paid labor hours. Supplies are illustrative per-job CAD costs. Special/hazardous cleaning is not included.</x:v>
      </x:c>
      <x:c r="B4" s="45"/>
      <x:c r="C4" s="45"/>
      <x:c r="D4" s="45"/>
      <x:c r="E4" s="45"/>
      <x:c r="F4" s="45"/>
      <x:c r="G4" s="45"/>
      <x:c r="H4" s="45"/>
    </x:row>
    <x:row r="5" ht="30" customHeight="1">
      <x:c r="A5" s="45"/>
      <x:c r="B5" s="45"/>
      <x:c r="C5" s="45"/>
      <x:c r="D5" s="45"/>
      <x:c r="E5" s="45"/>
      <x:c r="F5" s="45"/>
      <x:c r="G5" s="45"/>
      <x:c r="H5" s="45"/>
    </x:row>
    <x:row r="8" ht="34" customHeight="1">
      <x:c r="A8" s="58" t="str">
        <x:v>Service</x:v>
      </x:c>
      <x:c r="B8" s="58" t="str">
        <x:v>Default hours / employee</x:v>
      </x:c>
      <x:c r="C8" s="58" t="str">
        <x:v>Base supplies cost (CAD)</x:v>
      </x:c>
      <x:c r="D8" s="58" t="str">
        <x:v>Definition and boundary</x:v>
      </x:c>
    </x:row>
    <x:row r="9" ht="31" customHeight="1">
      <x:c r="A9" s="74" t="str">
        <x:v>Standard home cleaning</x:v>
      </x:c>
      <x:c r="B9" s="84" t="n">
        <x:v>2.5</x:v>
      </x:c>
      <x:c r="C9" s="78" t="n">
        <x:v>9</x:v>
      </x:c>
      <x:c r="D9" s="67" t="str">
        <x:v>Typical regular residential visit</x:v>
      </x:c>
    </x:row>
    <x:row r="10" ht="31" customHeight="1">
      <x:c r="A10" s="74" t="str">
        <x:v>Deep home cleaning</x:v>
      </x:c>
      <x:c r="B10" s="84" t="n">
        <x:v>4</x:v>
      </x:c>
      <x:c r="C10" s="78" t="n">
        <x:v>17</x:v>
      </x:c>
      <x:c r="D10" s="67" t="str">
        <x:v>More detailed residential cleaning; check actual scope</x:v>
      </x:c>
    </x:row>
    <x:row r="11" ht="31" customHeight="1">
      <x:c r="A11" s="74" t="str">
        <x:v>Move-in / move-out</x:v>
      </x:c>
      <x:c r="B11" s="84" t="n">
        <x:v>5</x:v>
      </x:c>
      <x:c r="C11" s="78" t="n">
        <x:v>22</x:v>
      </x:c>
      <x:c r="D11" s="67" t="str">
        <x:v>Empty-unit residential visit; review access</x:v>
      </x:c>
    </x:row>
    <x:row r="12" ht="31" customHeight="1">
      <x:c r="A12" s="74" t="str">
        <x:v>Small office cleaning</x:v>
      </x:c>
      <x:c r="B12" s="84" t="n">
        <x:v>2</x:v>
      </x:c>
      <x:c r="C12" s="78" t="n">
        <x:v>10</x:v>
      </x:c>
      <x:c r="D12" s="67" t="str">
        <x:v>Light office cleaning without specialty services</x:v>
      </x:c>
    </x:row>
    <x:row r="13" ht="31" customHeight="1">
      <x:c r="A13" s="74" t="str">
        <x:v>Apartment turnover</x:v>
      </x:c>
      <x:c r="B13" s="84" t="n">
        <x:v>3</x:v>
      </x:c>
      <x:c r="C13" s="78" t="n">
        <x:v>12</x:v>
      </x:c>
      <x:c r="D13" s="67" t="str">
        <x:v>Routine apartment turnover, not restoration</x:v>
      </x:c>
    </x:row>
    <x:row r="14" ht="31" customHeight="1">
      <x:c r="A14" s="74" t="str">
        <x:v>Recurring maintenance</x:v>
      </x:c>
      <x:c r="B14" s="84" t="n">
        <x:v>2</x:v>
      </x:c>
      <x:c r="C14" s="78" t="n">
        <x:v>8</x:v>
      </x:c>
      <x:c r="D14" s="67" t="str">
        <x:v>Small regular recurring cleaning</x:v>
      </x:c>
    </x:row>
    <x:row r="15" ht="31" customHeight="1">
      <x:c r="A15" s="74" t="str">
        <x:v>Interior window cleaning</x:v>
      </x:c>
      <x:c r="B15" s="84" t="n">
        <x:v>2</x:v>
      </x:c>
      <x:c r="C15" s="78" t="n">
        <x:v>6</x:v>
      </x:c>
      <x:c r="D15" s="67" t="str">
        <x:v>Interior-accessible windows only; no elevated work</x:v>
      </x:c>
    </x:row>
    <x:row r="18" ht="30" customHeight="1">
      <x:c r="A18" s="45" t="str">
        <x:v>Service names must match the menu in QUICK QUOTE and JOB SCENARIOS. Change default hours/supplies, but for compatibility do not add or remove catalogue rows without updating the formulas and validation.</x:v>
      </x:c>
      <x:c r="B18" s="45"/>
      <x:c r="C18" s="45"/>
      <x:c r="D18" s="45"/>
      <x:c r="E18" s="45"/>
      <x:c r="F18" s="45"/>
      <x:c r="G18" s="45"/>
      <x:c r="H18" s="45"/>
    </x:row>
    <x:row r="19" ht="30" customHeight="1">
      <x:c r="A19" s="45"/>
      <x:c r="B19" s="45"/>
      <x:c r="C19" s="45"/>
      <x:c r="D19" s="45"/>
      <x:c r="E19" s="45"/>
      <x:c r="F19" s="45"/>
      <x:c r="G19" s="45"/>
      <x:c r="H19" s="45"/>
    </x:row>
  </x:sheetData>
  <x:mergeCells>
    <x:mergeCell ref="A1:H2"/>
    <x:mergeCell ref="A4:H5"/>
    <x:mergeCell ref="A18:H1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5" hidden="0" customWidth="1"/>
    <x:col min="3" max="3" width="60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5" hidden="0" customWidth="1"/>
  </x:cols>
  <x:sheetData>
    <x:row r="1" ht="28" customHeight="1">
      <x:c r="A1" s="53" t="str">
        <x:v>BUSINESS SETTINGS  /  CHANGE BLUE CELLS</x:v>
      </x:c>
      <x:c r="B1" s="53"/>
      <x:c r="C1" s="53"/>
      <x:c r="D1" s="53"/>
      <x:c r="E1" s="53"/>
      <x:c r="F1" s="53"/>
      <x:c r="G1" s="53"/>
      <x:c r="H1" s="53"/>
    </x:row>
    <x:row r="2" ht="28" customHeight="1">
      <x:c r="A2" s="53"/>
      <x:c r="B2" s="53"/>
      <x:c r="C2" s="53"/>
      <x:c r="D2" s="53"/>
      <x:c r="E2" s="53"/>
      <x:c r="F2" s="53"/>
      <x:c r="G2" s="53"/>
      <x:c r="H2" s="53"/>
    </x:row>
    <x:row r="4" ht="30" customHeight="1">
      <x:c r="A4" s="45" t="str">
        <x:v>These are illustrative starting assumptions ONLY. Verify local wage costs, payroll burden, driving costs, overhead, processing fees and sales tax before quoting anyone.</x:v>
      </x:c>
      <x:c r="B4" s="45"/>
      <x:c r="C4" s="45"/>
      <x:c r="D4" s="45"/>
      <x:c r="E4" s="45"/>
      <x:c r="F4" s="45"/>
      <x:c r="G4" s="45"/>
      <x:c r="H4" s="45"/>
    </x:row>
    <x:row r="5" ht="30" customHeight="1">
      <x:c r="A5" s="45"/>
      <x:c r="B5" s="45"/>
      <x:c r="C5" s="45"/>
      <x:c r="D5" s="45"/>
      <x:c r="E5" s="45"/>
      <x:c r="F5" s="45"/>
      <x:c r="G5" s="45"/>
      <x:c r="H5" s="45"/>
    </x:row>
    <x:row r="9" ht="34" customHeight="1">
      <x:c r="A9" s="58" t="str">
        <x:v>Assumption / label</x:v>
      </x:c>
      <x:c r="B9" s="58" t="str">
        <x:v>Editable value</x:v>
      </x:c>
      <x:c r="C9" s="58" t="str">
        <x:v>What this controls</x:v>
      </x:c>
    </x:row>
    <x:row r="10" ht="23" customHeight="1">
      <x:c r="A10" s="63" t="str">
        <x:v>Loaded labor cost per employee-hour</x:v>
      </x:c>
      <x:c r="B10" s="78" t="n">
        <x:v>25</x:v>
      </x:c>
      <x:c r="C10" s="68" t="str">
        <x:v>Include pay + employer burden, not the selling rate.</x:v>
      </x:c>
    </x:row>
    <x:row r="11" ht="23" customHeight="1">
      <x:c r="A11" s="63" t="str">
        <x:v>Travel vehicle allowance per km</x:v>
      </x:c>
      <x:c r="B11" s="78" t="n">
        <x:v>0.55</x:v>
      </x:c>
      <x:c r="C11" s="68" t="str">
        <x:v>Operating expense per round-trip kilometer.</x:v>
      </x:c>
    </x:row>
    <x:row r="12" ht="23" customHeight="1">
      <x:c r="A12" s="63" t="str">
        <x:v>Base overhead per job</x:v>
      </x:c>
      <x:c r="B12" s="78" t="n">
        <x:v>14</x:v>
      </x:c>
      <x:c r="C12" s="68" t="str">
        <x:v>Allocate business insurance, supplies storage, scheduling, etc.</x:v>
      </x:c>
    </x:row>
    <x:row r="13" ht="23" customHeight="1">
      <x:c r="A13" s="63" t="str">
        <x:v>Cost contingency rate</x:v>
      </x:c>
      <x:c r="B13" s="80" t="n">
        <x:v>0.08</x:v>
      </x:c>
      <x:c r="C13" s="68" t="str">
        <x:v>Applied to estimated operating costs.</x:v>
      </x:c>
    </x:row>
    <x:row r="14" ht="23" customHeight="1">
      <x:c r="A14" s="63" t="str">
        <x:v>Target contribution margin</x:v>
      </x:c>
      <x:c r="B14" s="80" t="n">
        <x:v>0.3</x:v>
      </x:c>
      <x:c r="C14" s="68" t="str">
        <x:v>Target share of pre-tax sales after estimated processing fees and costs.</x:v>
      </x:c>
    </x:row>
    <x:row r="15" ht="23" customHeight="1">
      <x:c r="A15" s="63" t="str">
        <x:v>Estimated payment processing fee</x:v>
      </x:c>
      <x:c r="B15" s="80" t="n">
        <x:v>0.03</x:v>
      </x:c>
      <x:c r="C15" s="68" t="str">
        <x:v>Planning % only. Real processor may also charge fixed and FX fees.</x:v>
      </x:c>
    </x:row>
    <x:row r="16" ht="23" customHeight="1">
      <x:c r="A16" s="63" t="str">
        <x:v>Minimum pre-tax price AFTER discount</x:v>
      </x:c>
      <x:c r="B16" s="78" t="n">
        <x:v>100</x:v>
      </x:c>
      <x:c r="C16" s="68" t="str">
        <x:v>A minimum before sales tax; adjust for your business.</x:v>
      </x:c>
    </x:row>
    <x:row r="17" ht="23" customHeight="1">
      <x:c r="A17" s="63" t="str">
        <x:v>Round suggested list price to</x:v>
      </x:c>
      <x:c r="B17" s="78" t="n">
        <x:v>5</x:v>
      </x:c>
      <x:c r="C17" s="68" t="str">
        <x:v>Nearest higher increment in CAD, e.g., 5.</x:v>
      </x:c>
    </x:row>
    <x:row r="18" ht="23" customHeight="1">
      <x:c r="A18" s="63" t="str">
        <x:v>Sales tax rate - set for YOUR jurisdiction</x:v>
      </x:c>
      <x:c r="B18" s="80" t="n">
        <x:v>0</x:v>
      </x:c>
      <x:c r="C18" s="68" t="str">
        <x:v>Default 0 = unconfigured, NOT an exemption. Verify tax rules.</x:v>
      </x:c>
    </x:row>
    <x:row r="19" ht="23" customHeight="1">
      <x:c r="A19" s="63" t="str">
        <x:v>Quote validity (calendar days)</x:v>
      </x:c>
      <x:c r="B19" s="82" t="n">
        <x:v>14</x:v>
      </x:c>
      <x:c r="C19" s="68" t="str">
        <x:v>Suggested customer quote expiry, not a contract.</x:v>
      </x:c>
    </x:row>
    <x:row r="20" ht="23" customHeight="1">
      <x:c r="A20" s="63" t="str">
        <x:v>Business display name</x:v>
      </x:c>
      <x:c r="B20" s="74" t="str">
        <x:v>YOUR BUSINESS NAME</x:v>
      </x:c>
      <x:c r="C20" s="68" t="str">
        <x:v>Used on CLIENT QUOTE. Do not add private information.</x:v>
      </x:c>
    </x:row>
    <x:row r="21" ht="23" customHeight="1">
      <x:c r="A21" s="63" t="str">
        <x:v>Support contact</x:v>
      </x:c>
      <x:c r="B21" s="74" t="str">
        <x:v>support@example.com</x:v>
      </x:c>
      <x:c r="C21" s="68" t="str">
        <x:v>Used on CLIENT QUOTE; confirm it is monitored.</x:v>
      </x:c>
    </x:row>
    <x:row r="22" ht="23" customHeight="1">
      <x:c r="A22" s="63" t="str">
        <x:v>Currency</x:v>
      </x:c>
      <x:c r="B22" s="74" t="str">
        <x:v>CAD</x:v>
      </x:c>
      <x:c r="C22" s="68" t="str">
        <x:v>All prices are CAD. No currency conversion.</x:v>
      </x:c>
    </x:row>
    <x:row r="23" ht="23" customHeight="1">
      <x:c r="A23" s="63" t="str">
        <x:v>Assumptions reviewed?</x:v>
      </x:c>
      <x:c r="B23" s="74" t="str">
        <x:v>REVIEW BEFORE USE</x:v>
      </x:c>
      <x:c r="C23" s="68" t="str">
        <x:v>Change to READY only after reviewing all costs and tax settings.</x:v>
      </x:c>
    </x:row>
    <x:row r="26" ht="30" customHeight="1">
      <x:c r="A26" s="45" t="str">
        <x:v>Contribution margin is NOT a tax-adjusted net profit and excludes some real-world expenses. Use a fully loaded labor rate including payroll costs, or margin will be overstated.</x:v>
      </x:c>
      <x:c r="B26" s="45"/>
      <x:c r="C26" s="45"/>
      <x:c r="D26" s="45"/>
      <x:c r="E26" s="45"/>
      <x:c r="F26" s="45"/>
      <x:c r="G26" s="45"/>
      <x:c r="H26" s="45"/>
    </x:row>
    <x:row r="27" ht="30" customHeight="1">
      <x:c r="A27" s="45"/>
      <x:c r="B27" s="45"/>
      <x:c r="C27" s="45"/>
      <x:c r="D27" s="45"/>
      <x:c r="E27" s="45"/>
      <x:c r="F27" s="45"/>
      <x:c r="G27" s="45"/>
      <x:c r="H27" s="45"/>
    </x:row>
  </x:sheetData>
  <x:mergeCells>
    <x:mergeCell ref="A1:H2"/>
    <x:mergeCell ref="A4:H5"/>
    <x:mergeCell ref="A26:H27"/>
  </x:mergeCells>
  <x:dataValidations count="1">
    <x:dataValidation type="list" sqref="B23">
      <x:formula1>"REVIEW BEFORE USE,READY"</x:formula1>
    </x:dataValidation>
  </x:dataValidations>
  <x:pageMargins left="0.7" right="0.7" top="0.75" bottom="0.75" header="0.3" footer="0.3"/>
</x:worksheet>
</file>