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f276c7267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4f3715f42074ba6"/>
    <x:sheet xmlns:r="http://schemas.openxmlformats.org/officeDocument/2006/relationships" name="Opportunities" sheetId="2" r:id="R6264e29fb2204213"/>
    <x:sheet xmlns:r="http://schemas.openxmlformats.org/officeDocument/2006/relationships" name="Unit Economics" sheetId="3" r:id="Rce808707b3ff4f42"/>
    <x:sheet xmlns:r="http://schemas.openxmlformats.org/officeDocument/2006/relationships" name="Sources" sheetId="4" r:id="R8977f8231aa14f67"/>
    <x:sheet xmlns:r="http://schemas.openxmlformats.org/officeDocument/2006/relationships" name="Inputs" sheetId="5" r:id="Redd56b2028dd4f05"/>
    <x:sheet xmlns:r="http://schemas.openxmlformats.org/officeDocument/2006/relationships" name="Scenario Inputs" sheetId="6" r:id="R3e2969fd1c134b48"/>
    <x:sheet xmlns:r="http://schemas.openxmlformats.org/officeDocument/2006/relationships" name="Pessimistic" sheetId="7" r:id="R9841b1d20c7649d6"/>
    <x:sheet xmlns:r="http://schemas.openxmlformats.org/officeDocument/2006/relationships" name="Base" sheetId="8" r:id="R609f092ee6fb4c9a"/>
    <x:sheet xmlns:r="http://schemas.openxmlformats.org/officeDocument/2006/relationships" name="Optimistic" sheetId="9" r:id="R3c96944e93d54cb4"/>
    <x:sheet xmlns:r="http://schemas.openxmlformats.org/officeDocument/2006/relationships" name="Forecast Dashboard" sheetId="10" r:id="R0a8f6db39c704ee6"/>
    <x:sheet xmlns:r="http://schemas.openxmlformats.org/officeDocument/2006/relationships" name="Five Blueprints" sheetId="11" r:id="R2d32c16c2cdb44d4"/>
    <x:sheet xmlns:r="http://schemas.openxmlformats.org/officeDocument/2006/relationships" name="30-Day Plan" sheetId="12" r:id="R409307a6871b4276"/>
    <x:sheet xmlns:r="http://schemas.openxmlformats.org/officeDocument/2006/relationships" name="Actuals" sheetId="13" r:id="R769cd5b8e2134c7f"/>
    <x:sheet xmlns:r="http://schemas.openxmlformats.org/officeDocument/2006/relationships" name="Operations" sheetId="14" r:id="R8bba90ab690c4c35"/>
    <x:sheet xmlns:r="http://schemas.openxmlformats.org/officeDocument/2006/relationships" name="Actual Dashboard" sheetId="15" r:id="R14523a29cb904e3e"/>
    <x:sheet xmlns:r="http://schemas.openxmlformats.org/officeDocument/2006/relationships" name="Top 15" sheetId="16" r:id="Rbc1a5afad09e41e2"/>
    <x:sheet xmlns:r="http://schemas.openxmlformats.org/officeDocument/2006/relationships" name="Budget Scenarios" sheetId="17" r:id="R149ec5efce004826"/>
    <x:sheet xmlns:r="http://schemas.openxmlformats.org/officeDocument/2006/relationships" name="Profit Milestones" sheetId="18" r:id="R6b169648092f4b25"/>
  </x:sheets>
</x:workbook>
</file>

<file path=xl/comments1.xml><?xml version="1.0" encoding="utf-8"?>
<x:comments xmlns:x="http://schemas.openxmlformats.org/spreadsheetml/2006/main">
  <x:authors>
    <x:author>tc={943B8294-8A4C-4B28-A0E6-2D75B3257DB0}</x:author>
    <x:author>tc={C8643850-3965-4A67-B45E-10FA8E4A809B}</x:author>
    <x:author>tc={1F020BF0-1C55-4267-85C6-3C7EE2952A6C}</x:author>
    <x:author>tc={5FA7D0D0-CFE2-4C42-B392-470420F7E985}</x:author>
    <x:author>tc={63FAA4E8-A6C4-49AA-86D6-D9760B279000}</x:author>
    <x:author>tc={EE6DB2E2-B4B5-4CA4-9702-1B6FA8C5382D}</x:author>
    <x:author>tc={04E36FAC-E804-4AF8-A4C9-1577F00C3F98}</x:author>
    <x:author>tc={F3F936A9-20C1-45AE-B566-6AA8B76C4313}</x:author>
    <x:author>tc={B8959B19-6440-4F27-91BF-23908207E5E9}</x:author>
    <x:author>tc={AEBB43F6-7F0B-448B-9427-FB4621FEE249}</x:author>
    <x:author>tc={FD8BAFE7-C7BD-4223-8616-889C31E81303}</x:author>
    <x:author>tc={0ED47045-4345-4C01-9E1F-81C9582D338A}</x:author>
    <x:author>tc={2D37BA0E-5AB7-4B81-B615-2217657F1149}</x:author>
    <x:author>tc={554888F1-F900-4327-BE3B-A0116231CB89}</x:author>
    <x:author>tc={B1979E8A-1730-4739-B90D-48C982D2166E}</x:author>
    <x:author>tc={2CAC7445-8F80-43B5-8921-C366009F3CC4}</x:author>
    <x:author>tc={839DA17B-FBD3-4364-BE71-D7B8E8A38010}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4% planning allowance, not a published all-in quote; domestic cards 2.9% + CAD0.30, Billing may add fees. International/FX handled with separate reserve.
Sources: https://stripe.com/en-ca/pricing</x:t>
        </x:r>
      </x:text>
    </x:comment>
    <x:comment ref="C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Domestic standard card price reference; verify international and contract-specific pricing.
Sources: https://stripe.com/en-ca/pricing</x:t>
        </x:r>
      </x:text>
    </x:comment>
    <x:comment ref="C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15% is the top of published 0–15% contract range, not every contract's actual fee.
Sources: https://support.upwork.com/hc/en-us/articles/211062538-Learn-about-the-Freelancer-Service-Fee</x:t>
        </x:r>
      </x:text>
    </x:comment>
    <x:comment ref="C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15% planning allowance, not a literal platform tariff; includes platform/processing uncertainty.
Sources: https://gumroad.com/pricing; https://itch.io/docs/creators/payments; https://www.lemonsqueezy.com/pricing</x:t>
        </x:r>
      </x:text>
    </x:comment>
    <x:comment ref="C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CAD0.75 planning allowance. Vendor USD flat charges, currency and selected storefront change actual cost.
Sources: https://gumroad.com/pricing; https://itch.io/docs/creators/payments; https://www.lemonsqueezy.com/pricing</x:t>
        </x:r>
      </x:text>
    </x:comment>
    <x:comment ref="C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3% model assumption, not a verified industry rate. Excludes collected sales taxes.
Sources: Explicit unverified planning assumption.</x:t>
        </x:r>
      </x:text>
    </x:comment>
    <x:comment ref="C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2% conservative portfolio reserve, not a quoted exchange rate or fee; replace with actual costs.
Sources: https://stripe.com/en-ca/pricing</x:t>
        </x:r>
      </x:text>
    </x:comment>
    <x:comment ref="C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cap for capped jobs, not owner labour. Excess client-specific subscriptions billed separately.
Sources: Explicit unverified planning assumption.</x:t>
        </x:r>
      </x:text>
    </x:comment>
    <x:comment ref="C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light workflows with usage limits.
Sources: https://developers.cloudflare.com/workers/platform/pricing/; https://www.make.com/pricing</x:t>
        </x:r>
      </x:text>
    </x:comment>
    <x:comment ref="C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assumption; browser-test cadence and usage must fit this allowance.
Sources: https://www.checklyhq.com/pricing/</x:t>
        </x:r>
      </x:text>
    </x:comment>
    <x:comment ref="C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assumption; founder support time separately tracked.
Sources: Explicit unverified planning assumption.</x:t>
        </x:r>
      </x:text>
    </x:comment>
    <x:comment ref="C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assumption; real qualified rates may be much higher.
Sources: Explicit unverified planning assumption.</x:t>
        </x:r>
      </x:text>
    </x:comment>
    <x:comment ref="C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Opportunity-cost input, not an actual cash wage or claim about your income.
Sources: Explicit unverified planning assumption.</x:t>
        </x:r>
      </x:text>
    </x:comment>
    <x:comment ref="C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30% placeholder only, not a tax estimate; province, other income, CPP and structure matter.
Sources: https://www.canada.ca/en/revenue-agency/services/tax/businesses/topics/gst-hst-businesses/when-register-charge.html</x:t>
        </x:r>
      </x:text>
    </x:comment>
    <x:comment ref="C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Explicit unverified workload assumption. Validate against actual recorded owner and contractor time.</x:t>
        </x:r>
      </x:text>
    </x:comment>
    <x:comment ref="C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Explicit unverified workload assumption. Validate against actual recorded owner and contractor time.</x:t>
        </x:r>
      </x:text>
    </x:comment>
    <x:comment ref="C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Explicit unverified workload assumption. Validate against actual recorded owner and contractor time.</x:t>
        </x:r>
      </x:text>
    </x:comment>
  </x:commentList>
</x:comments>
</file>

<file path=xl/comments2.xml><?xml version="1.0" encoding="utf-8"?>
<x:comments xmlns:x="http://schemas.openxmlformats.org/spreadsheetml/2006/main">
  <x:authors>
    <x:author>tc={0BA08869-6ECD-4534-A0EC-6BCFF1E5270C}</x:author>
    <x:author>tc={E0C985D1-EF57-4A79-904A-D3B0855A332A}</x:author>
    <x:author>tc={642B692C-7DC1-4521-9A8A-087DD5765E57}</x:author>
    <x:author>tc={505A5522-6B9E-4AC5-833B-A48C8A7609B2}</x:author>
    <x:author>tc={A3BEDBDE-342C-40DA-85B2-6A1E42721971}</x:author>
    <x:author>tc={5690813C-EFF9-4AF1-BACF-35C8E2374289}</x:author>
    <x:author>tc={3D507CF9-80A5-41EB-A2DF-4FCDF349B34A}</x:author>
    <x:author>tc={C5F35F9C-32D9-4DFF-8A7E-EB67EAAC83AE}</x:author>
    <x:author>tc={3AFDF2C3-BDBD-4707-92B2-51C61D3B973D}</x:author>
    <x:author>tc={DA3BCCAE-4C39-4CE8-9ECC-6D59CA1F1735}</x:author>
    <x:author>tc={C87BEA76-5A39-4B63-A16F-0F002DF218C9}</x:author>
    <x:author>tc={42E704D8-38BF-49AE-A775-53FA67E13318}</x:author>
    <x:author>tc={A5D659CB-3AB0-4C91-BD89-E8F5DE9F5C60}</x:author>
    <x:author>tc={6E756DED-8895-4A7D-B2FF-659FF3F8BE5D}</x:author>
    <x:author>tc={14322C74-33AA-486A-86CE-278EDC7B4303}</x:author>
    <x:author>tc={FC5A93E5-D25E-4C11-9061-A518C4A852F3}</x:author>
    <x:author>tc={DDF36783-A591-412B-B119-AAA345261E55}</x:author>
    <x:author>tc={26B04B85-A863-4116-9D02-D388D73C15E1}</x:author>
    <x:author>tc={A614F6B0-C4A0-4907-8853-D45EA040FD4E}</x:author>
    <x:author>tc={B802BA91-0874-427B-9997-62854F006FD4}</x:author>
    <x:author>tc={37CBCC1C-107A-4948-B168-AC9AF3AA7ED8}</x:author>
    <x:author>tc={29D48CA0-8523-45E8-A81E-C9E11D4F8EBC}</x:author>
    <x:author>tc={1F7CFD4F-253D-4999-A411-D12670C8E28B}</x:author>
    <x:author>tc={730D8F2A-281E-4A56-BA00-716CA416F1CA}</x:author>
    <x:author>tc={1A4D7034-6670-43F4-9104-AD4D445265B8}</x:author>
    <x:author>tc={04C14001-1B65-46E7-A673-C7E016AD8EE3}</x:author>
    <x:author>tc={3855B0E3-952B-4CC3-ACC2-2B0CA04D9102}</x:author>
    <x:author>tc={45C94033-B8B4-4776-B127-3EB2B07FFA4D}</x:author>
    <x:author>tc={45C78385-CC07-4744-8FEB-604680FE77DB}</x:author>
    <x:author>tc={05FD8A8B-535F-4529-9B5D-404089A4DA15}</x:author>
    <x:author>tc={A12C306E-C627-4019-9108-CF984F687F46}</x:author>
    <x:author>tc={EBAFC0AA-14E6-464D-9492-4BEBAA6BEE20}</x:author>
    <x:author>tc={74DD4C63-768F-4783-B470-D17B532E8F98}</x:author>
    <x:author>tc={8A31F954-891F-4B31-9273-B6A180D4B9B6}</x:author>
    <x:author>tc={78A56BF9-DBA5-433F-B977-73EF3CFD1B9B}</x:author>
    <x:author>tc={9356AF65-A1F3-4BF6-9C05-51DFD412191D}</x:author>
    <x:author>tc={AEA531C0-6982-40A6-8CBD-A6C901D83B87}</x:author>
    <x:author>tc={05E935F8-BB9A-452B-81AB-87375359DCED}</x:author>
    <x:author>tc={628A6B1A-3A59-4C54-91A3-94928D059CA2}</x:author>
    <x:author>tc={1F4ED5CA-0502-4326-ADF7-78548D54227C}</x:author>
    <x:author>tc={C7842F16-E7BF-4AF4-A99E-AE67517E40BE}</x:author>
    <x:author>tc={61EC8902-1611-436D-9B6E-37D28FB17CB2}</x:author>
    <x:author>tc={64D73119-75DF-4B02-821F-21B3DB883AA4}</x:author>
    <x:author>tc={2FE0E8F0-A346-4741-BCE3-2C9C8F73A0F8}</x:author>
    <x:author>tc={C562D719-CF7C-4EC1-86B5-67C6EDF9F842}</x:author>
    <x:author>tc={FB7D7054-A855-461A-956A-1607D0BFAA88}</x:author>
    <x:author>tc={A947EFC5-D8FF-49A0-8C96-47A6AF246E2E}</x:author>
    <x:author>tc={B5D12B63-47C9-4278-B6B0-6BC2884BC7DC}</x:author>
    <x:author>tc={D053D395-5251-443D-8984-28143A103EA2}</x:author>
    <x:author>tc={F6B5BB57-8F35-4AFC-A8A2-323AEEC85EA1}</x:author>
    <x:author>tc={E767AD92-C655-44B9-B8C9-0A6E247DF8C7}</x:author>
    <x:author>tc={E4EE966A-0313-435E-919D-9AD9A6AA92D5}</x:author>
    <x:author>tc={C270DA99-1134-46E5-8370-BB681557602A}</x:author>
    <x:author>tc={5BE1ADBA-D382-407F-B18C-D941300EDB4A}</x:author>
    <x:author>tc={70275842-E539-4CE7-86BE-5D8428BF2539}</x:author>
    <x:author>tc={B6CE4B94-83B3-4B0F-A866-89953E1CE3FF}</x:author>
    <x:author>tc={D8135C50-65FD-4D88-8217-86CBEC6C85A1}</x:author>
    <x:author>tc={AEB7B92A-4588-406B-8B89-620B376C26F3}</x:author>
    <x:author>tc={DA30E5D4-1BE1-4C55-BFC7-E9EDC72BE975}</x:author>
    <x:author>tc={97735C68-F608-46F9-92A3-1E98BD84A375}</x:author>
    <x:author>tc={C6C9E5C8-606F-4F79-9986-E73DF0F03D0F}</x:author>
    <x:author>tc={346931BD-AD22-4E3A-BEF5-02198967C2F7}</x:author>
    <x:author>tc={DA64F0BF-E930-4FEF-B997-C37E46696F89}</x:author>
    <x:author>tc={C15F47D7-F394-4575-861B-2567137173F9}</x:author>
    <x:author>tc={15B38791-58B4-4403-9E14-9C91E227BC41}</x:author>
    <x:author>tc={B97E9F44-CD15-4E6E-8E7F-D3F9AF3DE749}</x:author>
    <x:author>tc={A0C729F8-B08C-4314-953B-C6A658C795D5}</x:author>
    <x:author>tc={2E417197-067B-4BCC-979A-950D2C45C102}</x:author>
    <x:author>tc={30CB9C74-0F18-48DB-8A9F-D05236179196}</x:author>
    <x:author>tc={5ED4D42C-E1D8-46CB-90A6-5388C6CDF014}</x:author>
    <x:author>tc={C08A3F7C-C3A4-4B77-B59F-7EDE7B54CF20}</x:author>
    <x:author>tc={1FD8311D-F417-4D6F-AB14-1135E6CECFD9}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new. Months 1–12 on this row are explicit planning assumptions, not measured results, market averages or probabilities.</x:t>
        </x:r>
      </x:text>
    </x:comment>
    <x:comment ref="E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prices. Months 1–12 on this row are explicit planning assumptions, not measured results, market averages or probabilities.</x:t>
        </x:r>
      </x:text>
    </x:comment>
    <x:comment ref="E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attach. Months 1–12 on this row are explicit planning assumptions, not measured results, market averages or probabilities.</x:t>
        </x:r>
      </x:text>
    </x:comment>
    <x:comment ref="E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churn. Months 1–12 on this row are explicit planning assumptions, not measured results, market averages or probabilities.</x:t>
        </x:r>
      </x:text>
    </x:comment>
    <x:comment ref="E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care_price. Months 1–12 on this row are explicit planning assumptions, not measured results, market averages or probabilities.</x:t>
        </x:r>
      </x:text>
    </x:comment>
    <x:comment ref="E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newmon. Months 1–12 on this row are explicit planning assumptions, not measured results, market averages or probabilities.</x:t>
        </x:r>
      </x:text>
    </x:comment>
    <x:comment ref="E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monchurn. Months 1–12 on this row are explicit planning assumptions, not measured results, market averages or probabilities.</x:t>
        </x:r>
      </x:text>
    </x:comment>
    <x:comment ref="E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monprice. Months 1–12 on this row are explicit planning assumptions, not measured results, market averages or probabilities.</x:t>
        </x:r>
      </x:text>
    </x:comment>
    <x:comment ref="E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monsetup. Months 1–12 on this row are explicit planning assumptions, not measured results, market averages or probabilities.</x:t>
        </x:r>
      </x:text>
    </x:comment>
    <x:comment ref="E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kits. Months 1–12 on this row are explicit planning assumptions, not measured results, market averages or probabilities.</x:t>
        </x:r>
      </x:text>
    </x:comment>
    <x:comment ref="E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kitprice. Months 1–12 on this row are explicit planning assumptions, not measured results, market averages or probabilities.</x:t>
        </x:r>
      </x:text>
    </x:comment>
    <x:comment ref="E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fixed. Months 1–12 on this row are explicit planning assumptions, not measured results, market averages or probabilities.</x:t>
        </x:r>
      </x:text>
    </x:comment>
    <x:comment ref="E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marketing. Months 1–12 on this row are explicit planning assumptions, not measured results, market averages or probabilities.</x:t>
        </x:r>
      </x:text>
    </x:comment>
    <x:comment ref="E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contractor_hours. Months 1–12 on this row are explicit planning assumptions, not measured results, market averages or probabilities.</x:t>
        </x:r>
      </x:text>
    </x:comment>
    <x:comment ref="E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owner_build. Months 1–12 on this row are explicit planning assumptions, not measured results, market averages or probabilities.</x:t>
        </x:r>
      </x:text>
    </x:comment>
    <x:comment ref="E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owner_sales. Months 1–12 on this row are explicit planning assumptions, not measured results, market averages or probabilities.</x:t>
        </x:r>
      </x:text>
    </x:comment>
    <x:comment ref="E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owner_admin. Months 1–12 on this row are explicit planning assumptions, not measured results, market averages or probabilities.</x:t>
        </x:r>
      </x:text>
    </x:comment>
    <x:comment ref="E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setup_hours. Months 1–12 on this row are explicit planning assumptions, not measured results, market averages or probabilities.</x:t>
        </x:r>
      </x:text>
    </x:comment>
    <x:comment ref="E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care_hours. Months 1–12 on this row are explicit planning assumptions, not measured results, market averages or probabilities.</x:t>
        </x:r>
      </x:text>
    </x:comment>
    <x:comment ref="E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monitor_hours. Months 1–12 on this row are explicit planning assumptions, not measured results, market averages or probabilities.</x:t>
        </x:r>
      </x:text>
    </x:comment>
    <x:comment ref="E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market_share. Months 1–12 on this row are explicit planning assumptions, not measured results, market averages or probabilities.</x:t>
        </x:r>
      </x:text>
    </x:comment>
    <x:comment ref="E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win_rate. Months 1–12 on this row are explicit planning assumptions, not measured results, market averages or probabilities.</x:t>
        </x:r>
      </x:text>
    </x:comment>
    <x:comment ref="E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kit_conversion. Months 1–12 on this row are explicit planning assumptions, not measured results, market averages or probabilities.</x:t>
        </x:r>
      </x:text>
    </x:comment>
    <x:comment ref="E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Pessimistic: startup. Months 1–12 on this row are explicit planning assumptions, not measured results, market averages or probabilities.</x:t>
        </x:r>
      </x:text>
    </x:comment>
    <x:comment ref="E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new. Months 1–12 on this row are explicit planning assumptions, not measured results, market averages or probabilities.</x:t>
        </x:r>
      </x:text>
    </x:comment>
    <x:comment ref="E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prices. Months 1–12 on this row are explicit planning assumptions, not measured results, market averages or probabilities.</x:t>
        </x:r>
      </x:text>
    </x:comment>
    <x:comment ref="E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attach. Months 1–12 on this row are explicit planning assumptions, not measured results, market averages or probabilities.</x:t>
        </x:r>
      </x:text>
    </x:comment>
    <x:comment ref="E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churn. Months 1–12 on this row are explicit planning assumptions, not measured results, market averages or probabilities.</x:t>
        </x:r>
      </x:text>
    </x:comment>
    <x:comment ref="E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care_price. Months 1–12 on this row are explicit planning assumptions, not measured results, market averages or probabilities.</x:t>
        </x:r>
      </x:text>
    </x:comment>
    <x:comment ref="E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newmon. Months 1–12 on this row are explicit planning assumptions, not measured results, market averages or probabilities.</x:t>
        </x:r>
      </x:text>
    </x:comment>
    <x:comment ref="E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monchurn. Months 1–12 on this row are explicit planning assumptions, not measured results, market averages or probabilities.</x:t>
        </x:r>
      </x:text>
    </x:comment>
    <x:comment ref="E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monprice. Months 1–12 on this row are explicit planning assumptions, not measured results, market averages or probabilities.</x:t>
        </x:r>
      </x:text>
    </x:comment>
    <x:comment ref="E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monsetup. Months 1–12 on this row are explicit planning assumptions, not measured results, market averages or probabilities.</x:t>
        </x:r>
      </x:text>
    </x:comment>
    <x:comment ref="E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kits. Months 1–12 on this row are explicit planning assumptions, not measured results, market averages or probabilities.</x:t>
        </x:r>
      </x:text>
    </x:comment>
    <x:comment ref="E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kitprice. Months 1–12 on this row are explicit planning assumptions, not measured results, market averages or probabilities.</x:t>
        </x:r>
      </x:text>
    </x:comment>
    <x:comment ref="E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fixed. Months 1–12 on this row are explicit planning assumptions, not measured results, market averages or probabilities.</x:t>
        </x:r>
      </x:text>
    </x:comment>
    <x:comment ref="E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marketing. Months 1–12 on this row are explicit planning assumptions, not measured results, market averages or probabilities.</x:t>
        </x:r>
      </x:text>
    </x:comment>
    <x:comment ref="E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contractor_hours. Months 1–12 on this row are explicit planning assumptions, not measured results, market averages or probabilities.</x:t>
        </x:r>
      </x:text>
    </x:comment>
    <x:comment ref="E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owner_build. Months 1–12 on this row are explicit planning assumptions, not measured results, market averages or probabilities.</x:t>
        </x:r>
      </x:text>
    </x:comment>
    <x:comment ref="E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owner_sales. Months 1–12 on this row are explicit planning assumptions, not measured results, market averages or probabilities.</x:t>
        </x:r>
      </x:text>
    </x:comment>
    <x:comment ref="E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owner_admin. Months 1–12 on this row are explicit planning assumptions, not measured results, market averages or probabilities.</x:t>
        </x:r>
      </x:text>
    </x:comment>
    <x:comment ref="E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setup_hours. Months 1–12 on this row are explicit planning assumptions, not measured results, market averages or probabilities.</x:t>
        </x:r>
      </x:text>
    </x:comment>
    <x:comment ref="E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care_hours. Months 1–12 on this row are explicit planning assumptions, not measured results, market averages or probabilities.</x:t>
        </x:r>
      </x:text>
    </x:comment>
    <x:comment ref="E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monitor_hours. Months 1–12 on this row are explicit planning assumptions, not measured results, market averages or probabilities.</x:t>
        </x:r>
      </x:text>
    </x:comment>
    <x:comment ref="E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market_share. Months 1–12 on this row are explicit planning assumptions, not measured results, market averages or probabilities.</x:t>
        </x:r>
      </x:text>
    </x:comment>
    <x:comment ref="E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win_rate. Months 1–12 on this row are explicit planning assumptions, not measured results, market averages or probabilities.</x:t>
        </x:r>
      </x:text>
    </x:comment>
    <x:comment ref="E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kit_conversion. Months 1–12 on this row are explicit planning assumptions, not measured results, market averages or probabilities.</x:t>
        </x:r>
      </x:text>
    </x:comment>
    <x:comment ref="E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Base: startup. Months 1–12 on this row are explicit planning assumptions, not measured results, market averages or probabilities.</x:t>
        </x:r>
      </x:text>
    </x:comment>
    <x:comment ref="E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new. Months 1–12 on this row are explicit planning assumptions, not measured results, market averages or probabilities.</x:t>
        </x:r>
      </x:text>
    </x:comment>
    <x:comment ref="E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prices. Months 1–12 on this row are explicit planning assumptions, not measured results, market averages or probabilities.</x:t>
        </x:r>
      </x:text>
    </x:comment>
    <x:comment ref="E5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attach. Months 1–12 on this row are explicit planning assumptions, not measured results, market averages or probabilities.</x:t>
        </x:r>
      </x:text>
    </x:comment>
    <x:comment ref="E5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churn. Months 1–12 on this row are explicit planning assumptions, not measured results, market averages or probabilities.</x:t>
        </x:r>
      </x:text>
    </x:comment>
    <x:comment ref="E5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care_price. Months 1–12 on this row are explicit planning assumptions, not measured results, market averages or probabilities.</x:t>
        </x:r>
      </x:text>
    </x:comment>
    <x:comment ref="E5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newmon. Months 1–12 on this row are explicit planning assumptions, not measured results, market averages or probabilities.</x:t>
        </x:r>
      </x:text>
    </x:comment>
    <x:comment ref="E5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monchurn. Months 1–12 on this row are explicit planning assumptions, not measured results, market averages or probabilities.</x:t>
        </x:r>
      </x:text>
    </x:comment>
    <x:comment ref="E6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monprice. Months 1–12 on this row are explicit planning assumptions, not measured results, market averages or probabilities.</x:t>
        </x:r>
      </x:text>
    </x:comment>
    <x:comment ref="E6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monsetup. Months 1–12 on this row are explicit planning assumptions, not measured results, market averages or probabilities.</x:t>
        </x:r>
      </x:text>
    </x:comment>
    <x:comment ref="E6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kits. Months 1–12 on this row are explicit planning assumptions, not measured results, market averages or probabilities.</x:t>
        </x:r>
      </x:text>
    </x:comment>
    <x:comment ref="E6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kitprice. Months 1–12 on this row are explicit planning assumptions, not measured results, market averages or probabilities.</x:t>
        </x:r>
      </x:text>
    </x:comment>
    <x:comment ref="E64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fixed. Months 1–12 on this row are explicit planning assumptions, not measured results, market averages or probabilities.</x:t>
        </x:r>
      </x:text>
    </x:comment>
    <x:comment ref="E65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marketing. Months 1–12 on this row are explicit planning assumptions, not measured results, market averages or probabilities.</x:t>
        </x:r>
      </x:text>
    </x:comment>
    <x:comment ref="E6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contractor_hours. Months 1–12 on this row are explicit planning assumptions, not measured results, market averages or probabilities.</x:t>
        </x:r>
      </x:text>
    </x:comment>
    <x:comment ref="E67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owner_build. Months 1–12 on this row are explicit planning assumptions, not measured results, market averages or probabilities.</x:t>
        </x:r>
      </x:text>
    </x:comment>
    <x:comment ref="E6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owner_sales. Months 1–12 on this row are explicit planning assumptions, not measured results, market averages or probabilities.</x:t>
        </x:r>
      </x:text>
    </x:comment>
    <x:comment ref="E6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owner_admin. Months 1–12 on this row are explicit planning assumptions, not measured results, market averages or probabilities.</x:t>
        </x:r>
      </x:text>
    </x:comment>
    <x:comment ref="E7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setup_hours. Months 1–12 on this row are explicit planning assumptions, not measured results, market averages or probabilities.</x:t>
        </x:r>
      </x:text>
    </x:comment>
    <x:comment ref="E7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care_hours. Months 1–12 on this row are explicit planning assumptions, not measured results, market averages or probabilities.</x:t>
        </x:r>
      </x:text>
    </x:comment>
    <x:comment ref="E72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monitor_hours. Months 1–12 on this row are explicit planning assumptions, not measured results, market averages or probabilities.</x:t>
        </x:r>
      </x:text>
    </x:comment>
    <x:comment ref="E7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market_share. Months 1–12 on this row are explicit planning assumptions, not measured results, market averages or probabilities.</x:t>
        </x:r>
      </x:text>
    </x:comment>
    <x:comment ref="E74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win_rate. Months 1–12 on this row are explicit planning assumptions, not measured results, market averages or probabilities.</x:t>
        </x:r>
      </x:text>
    </x:comment>
    <x:comment ref="E75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kit_conversion. Months 1–12 on this row are explicit planning assumptions, not measured results, market averages or probabilities.</x:t>
        </x:r>
      </x:text>
    </x:comment>
    <x:comment ref="E76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Optimistic: startup. Months 1–12 on this row are explicit planning assumptions, not measured results, market averages or probabilities.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;[Red](0%);&quot;-&quot;"/>
    <x:numFmt numFmtId="201" formatCode="&quot;$&quot;#,##0;[Red](&quot;$&quot;#,##0);&quot;-&quot;"/>
    <x:numFmt numFmtId="202" formatCode="#,##0.0;[Red](#,##0.0);&quot;-&quot;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526578"/>
      <x:name val="Carlito"/>
    </x:font>
    <x:font>
      <x:b/>
      <x:sz val="10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  <x:font>
      <x:sz val="10"/>
      <x:color rgb="FF008000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C44"/>
      </x:patternFill>
    </x:fill>
    <x:fill>
      <x:patternFill patternType="solid">
        <x:fgColor rgb="FFFFF1C2"/>
      </x:patternFill>
    </x:fill>
    <x:fill>
      <x:patternFill patternType="solid">
        <x:fgColor rgb="FFFFF8DE"/>
      </x:patternFill>
    </x:fill>
    <x:fill>
      <x:patternFill patternType="solid">
        <x:fgColor rgb="FFEAF3F5"/>
      </x:patternFill>
    </x:fill>
  </x:fills>
  <x:borders count="4">
    <x:border/>
    <x:border/>
    <x:border>
      <x:top style="thin">
        <x:color rgb="FF087E8B"/>
      </x:top>
    </x:border>
    <x:border>
      <x:top style="thin">
        <x:color rgb="FF087E8B"/>
      </x:top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1" fontId="6" fillId="3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3" fillId="5" borderId="2" xfId="0" applyNumberFormat="1" applyFont="1" applyFill="1" applyBorder="1"/>
    <x:xf numFmtId="201" fontId="3" fillId="5" borderId="2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0" fontId="3" fillId="5" borderId="1" xfId="0" applyNumberFormat="1" applyFont="1" applyFill="1" applyBorder="1"/>
    <x:xf numFmtId="201" fontId="3" fillId="5" borderId="1" xfId="0" applyNumberFormat="1" applyFont="1" applyFill="1" applyBorder="1"/>
    <x:xf numFmtId="0" fontId="3" fillId="5" borderId="3" xfId="0" applyNumberFormat="1" applyFont="1" applyFill="1" applyBorder="1"/>
    <x:xf numFmtId="201" fontId="3" fillId="5" borderId="3" xfId="0" applyNumberFormat="1" applyFont="1" applyFill="1" applyBorder="1"/>
    <x:xf numFmtId="202" fontId="4" fillId="5" borderId="0" xfId="0" applyNumberFormat="1" applyFont="1" applyFill="1" applyBorder="1"/>
    <x:xf numFmtId="202" fontId="3" fillId="5" borderId="0" xfId="0" applyNumberFormat="1" applyFont="1" applyFill="1" applyBorder="1"/>
    <x:xf numFmtId="202" fontId="3" fillId="5" borderId="2" xfId="0" applyNumberFormat="1" applyFont="1" applyFill="1" applyBorder="1"/>
    <x:xf numFmtId="202" fontId="4" fillId="5" borderId="1" xfId="0" applyNumberFormat="1" applyFont="1" applyFill="1" applyBorder="1"/>
    <x:xf numFmtId="202" fontId="3" fillId="5" borderId="1" xfId="0" applyNumberFormat="1" applyFont="1" applyFill="1" applyBorder="1"/>
    <x:xf numFmtId="202" fontId="3" fillId="5" borderId="3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4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9" fillId="5" borderId="0" xfId="0" applyNumberFormat="1" applyFont="1" applyFill="1" applyBorder="1"/>
    <x:xf numFmtId="201" fontId="9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9" fillId="5" borderId="1" xfId="0" applyNumberFormat="1" applyFont="1" applyFill="1" applyBorder="1"/>
    <x:xf numFmtId="201" fontId="9" fillId="5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085302c1e41f2" /><Relationship Type="http://schemas.openxmlformats.org/officeDocument/2006/relationships/theme" Target="/xl/theme/theme1.xml" Id="R86fcd09ce6294d5d" /><Relationship Type="http://schemas.openxmlformats.org/officeDocument/2006/relationships/sharedStrings" Target="/xl/sharedStrings.xml" Id="R47ec6309afd541f2" /><Relationship Type="http://schemas.openxmlformats.org/officeDocument/2006/relationships/worksheet" Target="/xl/worksheets/sheet1.xml" Id="Rb4f3715f42074ba6" /><Relationship Type="http://schemas.openxmlformats.org/officeDocument/2006/relationships/worksheet" Target="/xl/worksheets/sheet2.xml" Id="R6264e29fb2204213" /><Relationship Type="http://schemas.openxmlformats.org/officeDocument/2006/relationships/worksheet" Target="/xl/worksheets/sheet3.xml" Id="Rce808707b3ff4f42" /><Relationship Type="http://schemas.openxmlformats.org/officeDocument/2006/relationships/worksheet" Target="/xl/worksheets/sheet4.xml" Id="R8977f8231aa14f67" /><Relationship Type="http://schemas.openxmlformats.org/officeDocument/2006/relationships/worksheet" Target="/xl/worksheets/sheet5.xml" Id="Redd56b2028dd4f05" /><Relationship Type="http://schemas.openxmlformats.org/officeDocument/2006/relationships/worksheet" Target="/xl/worksheets/sheet6.xml" Id="R3e2969fd1c134b48" /><Relationship Type="http://schemas.openxmlformats.org/officeDocument/2006/relationships/worksheet" Target="/xl/worksheets/sheet7.xml" Id="R9841b1d20c7649d6" /><Relationship Type="http://schemas.openxmlformats.org/officeDocument/2006/relationships/worksheet" Target="/xl/worksheets/sheet8.xml" Id="R609f092ee6fb4c9a" /><Relationship Type="http://schemas.openxmlformats.org/officeDocument/2006/relationships/worksheet" Target="/xl/worksheets/sheet9.xml" Id="R3c96944e93d54cb4" /><Relationship Type="http://schemas.openxmlformats.org/officeDocument/2006/relationships/worksheet" Target="/xl/worksheets/sheet10.xml" Id="R0a8f6db39c704ee6" /><Relationship Type="http://schemas.openxmlformats.org/officeDocument/2006/relationships/worksheet" Target="/xl/worksheets/sheet11.xml" Id="R2d32c16c2cdb44d4" /><Relationship Type="http://schemas.openxmlformats.org/officeDocument/2006/relationships/worksheet" Target="/xl/worksheets/sheet12.xml" Id="R409307a6871b4276" /><Relationship Type="http://schemas.openxmlformats.org/officeDocument/2006/relationships/worksheet" Target="/xl/worksheets/sheet13.xml" Id="R769cd5b8e2134c7f" /><Relationship Type="http://schemas.openxmlformats.org/officeDocument/2006/relationships/worksheet" Target="/xl/worksheets/sheet14.xml" Id="R8bba90ab690c4c35" /><Relationship Type="http://schemas.openxmlformats.org/officeDocument/2006/relationships/worksheet" Target="/xl/worksheets/sheet15.xml" Id="R14523a29cb904e3e" /><Relationship Type="http://schemas.openxmlformats.org/officeDocument/2006/relationships/worksheet" Target="/xl/worksheets/sheet16.xml" Id="Rbc1a5afad09e41e2" /><Relationship Type="http://schemas.openxmlformats.org/officeDocument/2006/relationships/worksheet" Target="/xl/worksheets/sheet17.xml" Id="R149ec5efce004826" /><Relationship Type="http://schemas.openxmlformats.org/officeDocument/2006/relationships/worksheet" Target="/xl/worksheets/sheet18.xml" Id="R6b169648092f4b25" /><Relationship Type="http://schemas.microsoft.com/office/2017/10/relationships/person" Target="/xl/persons/person.xml" Id="Rf4b8780a42b444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b8c2c27ee84c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 profit before owner pay (CAD)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Pessimistic</c:v>
          </c:tx>
          <c:marker>
            <c:symbol val="none"/>
          </c:marker>
          <c:cat>
            <c:strRef>
              <c:f>'Forecast Dashboard'!$K$5:$K$16</c:f>
              <c:strCache>
                <c:ptCount val="0"/>
              </c:strCache>
            </c:strRef>
          </c:cat>
          <c:val>
            <c:numRef>
              <c:f>'Forecast Dashboard'!$L$5:$L$16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</c:v>
          </c:tx>
          <c:marker>
            <c:symbol val="none"/>
          </c:marker>
          <c:cat>
            <c:strRef>
              <c:f>'Forecast Dashboard'!$K$5:$K$16</c:f>
              <c:strCache>
                <c:ptCount val="0"/>
              </c:strCache>
            </c:strRef>
          </c:cat>
          <c:val>
            <c:numRef>
              <c:f>'Forecast Dashboard'!$M$5:$M$16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Optimistic</c:v>
          </c:tx>
          <c:marker>
            <c:symbol val="none"/>
          </c:marker>
          <c:cat>
            <c:strRef>
              <c:f>'Forecast Dashboard'!$K$5:$K$16</c:f>
              <c:strCache>
                <c:ptCount val="0"/>
              </c:strCache>
            </c:strRef>
          </c:cat>
          <c:val>
            <c:numRef>
              <c:f>'Forecast Dashboard'!$N$5:$N$16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9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b8c2c27ee84ce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esearch Model" id="{091842C0-0E1D-4FA5-9778-B3A4BF98F3AC}"/>
</xltc:personList>
</file>

<file path=xl/tables/table1.xml><?xml version="1.0" encoding="utf-8"?>
<x:table xmlns:x="http://schemas.openxmlformats.org/spreadsheetml/2006/main" id="1" name="OpportunityTable" displayName="OpportunityTable" ref="A4:AA64" headerRowCount="1" totalsRowCount="0" totalsRowShown="0">
  <x:tableColumns count="27">
    <x:tableColumn id="1" name="ID"/>
    <x:tableColumn id="2" name="Priority rank"/>
    <x:tableColumn id="3" name="Business"/>
    <x:tableColumn id="4" name="Category"/>
    <x:tableColumn id="5" name="Specific deliverable"/>
    <x:tableColumn id="6" name="Target customer"/>
    <x:tableColumn id="7" name="Startup low (CAD)"/>
    <x:tableColumn id="8" name="Startup high (CAD)"/>
    <x:tableColumn id="9" name="Build/launch estimate"/>
    <x:tableColumn id="10" name="First possible sale*"/>
    <x:tableColumn id="11" name="Repeatable revenue*"/>
    <x:tableColumn id="12" name="CAD 1k monthly profit*"/>
    <x:tableColumn id="13" name="Delivery automation target"/>
    <x:tableColumn id="14" name="Weekly operations h*"/>
    <x:tableColumn id="15" name="Weekly sales h*"/>
    <x:tableColumn id="16" name="Competition"/>
    <x:tableColumn id="17" name="Main risks"/>
    <x:tableColumn id="18" name="First acquisition route"/>
    <x:tableColumn id="19" name="Validation / stop gate"/>
    <x:tableColumn id="20" name="Speed 1–5"/>
    <x:tableColumn id="21" name="Profit 1–5"/>
    <x:tableColumn id="22" name="Automation 1–5"/>
    <x:tableColumn id="23" name="Evidence / route 1–5"/>
    <x:tableColumn id="24" name="Scale 1–5"/>
    <x:tableColumn id="25" name="Weighted score /100"/>
    <x:tableColumn id="26" name="Evidence grade"/>
    <x:tableColumn id="27" name="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EconomicsTable" displayName="UnitEconomicsTable" ref="A4:W64" headerRowCount="1" totalsRowCount="0" totalsRowShown="0">
  <x:tableColumns count="23">
    <x:tableColumn id="1" name="ID"/>
    <x:tableColumn id="2" name="Business"/>
    <x:tableColumn id="3" name="Unit price / receipt (CAD)"/>
    <x:tableColumn id="4" name="M3 units*"/>
    <x:tableColumn id="5" name="M12 upside units*"/>
    <x:tableColumn id="6" name="Fee %"/>
    <x:tableColumn id="7" name="Fee/transaction"/>
    <x:tableColumn id="8" name="Refund reserve %"/>
    <x:tableColumn id="9" name="Delivery cost/unit"/>
    <x:tableColumn id="10" name="Fixed/month"/>
    <x:tableColumn id="11" name="Acquisition/month"/>
    <x:tableColumn id="12" name="M12 extra overhead %"/>
    <x:tableColumn id="13" name="M3 revenue"/>
    <x:tableColumn id="14" name="M3 costs"/>
    <x:tableColumn id="15" name="M3 operating profit*"/>
    <x:tableColumn id="16" name="No-sales monthly loss*"/>
    <x:tableColumn id="17" name="M12 revenue"/>
    <x:tableColumn id="18" name="M12 costs"/>
    <x:tableColumn id="19" name="M12 upside profit*"/>
    <x:tableColumn id="20" name="Ops h/week"/>
    <x:tableColumn id="21" name="Sales h/week"/>
    <x:tableColumn id="22" name="M3 profit/owner hour*"/>
    <x:tableColumn id="23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Table" displayName="SourceTable" ref="A4:F51" headerRowCount="1" totalsRowCount="0" totalsRowShown="0">
  <x:tableColumns count="6">
    <x:tableColumn id="1" name="ID"/>
    <x:tableColumn id="2" name="Primary source"/>
    <x:tableColumn id="3" name="Grade"/>
    <x:tableColumn id="4" name="What it does / does not establish"/>
    <x:tableColumn id="5" name="Checked"/>
    <x:tableColumn id="6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aredInputTable" displayName="SharedInputTable" ref="A4:E18" headerRowCount="1" totalsRowCount="0" totalsRowShown="0">
  <x:tableColumns count="5">
    <x:tableColumn id="1" name="Input key"/>
    <x:tableColumn id="2" name="Description"/>
    <x:tableColumn id="3" name="Value"/>
    <x:tableColumn id="4" name="Basis / caveat"/>
    <x:tableColumn id="5" name="Sourc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arioInputTable" displayName="ScenarioInputTable" ref="A4:P76" headerRowCount="1" totalsRowCount="0" totalsRowShown="0">
  <x:tableColumns count="16">
    <x:tableColumn id="1" name="Scenario"/>
    <x:tableColumn id="2" name="Assumption"/>
    <x:tableColumn id="3" name="Unit"/>
    <x:tableColumn id="4" name="Basis"/>
    <x:tableColumn id="5" name="Month 1"/>
    <x:tableColumn id="6" name="Month 2"/>
    <x:tableColumn id="7" name="Month 3"/>
    <x:tableColumn id="8" name="Month 4"/>
    <x:tableColumn id="9" name="Month 5"/>
    <x:tableColumn id="10" name="Month 6"/>
    <x:tableColumn id="11" name="Month 7"/>
    <x:tableColumn id="12" name="Month 8"/>
    <x:tableColumn id="13" name="Month 9"/>
    <x:tableColumn id="14" name="Month 10"/>
    <x:tableColumn id="15" name="Month 11"/>
    <x:tableColumn id="16" name="Month 1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ecastSummary" displayName="ForecastSummary" ref="A4:I19" headerRowCount="1" totalsRowCount="0" totalsRowShown="0">
  <x:tableColumns count="9">
    <x:tableColumn id="1" name="Scenario"/>
    <x:tableColumn id="2" name="Month"/>
    <x:tableColumn id="3" name="Earned revenue"/>
    <x:tableColumn id="4" name="Expenses"/>
    <x:tableColumn id="5" name="Operating profit"/>
    <x:tableColumn id="6" name="Exit MRR"/>
    <x:tableColumn id="7" name="Owner hours/mo"/>
    <x:tableColumn id="8" name="After owner time"/>
    <x:tableColumn id="9" name="Recurring-only prox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lueprintTable" displayName="BlueprintTable" ref="A4:D104" headerRowCount="1" totalsRowCount="0" totalsRowShown="0">
  <x:tableColumns count="4">
    <x:tableColumn id="1" name="ID"/>
    <x:tableColumn id="2" name="Offer"/>
    <x:tableColumn id="3" name="Decision"/>
    <x:tableColumn id="4" name="Implemen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tionPlanTable" displayName="ActionPlanTable" ref="A4:F34" headerRowCount="1" totalsRowCount="0" totalsRowShown="0">
  <x:tableColumns count="6">
    <x:tableColumn id="1" name="Day"/>
    <x:tableColumn id="2" name="Focus"/>
    <x:tableColumn id="3" name="Action"/>
    <x:tableColumn id="4" name="Measurable gate"/>
    <x:tableColumn id="5" name="Status"/>
    <x:tableColumn id="6" name="Actual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tualLedger" displayName="ActualLedger" ref="A4:I204" headerRowCount="1" totalsRowCount="0" totalsRowShown="0">
  <x:tableColumns count="9">
    <x:tableColumn id="1" name="Date (YYYY-MM-DD)"/>
    <x:tableColumn id="2" name="Month (YYYY-MM)"/>
    <x:tableColumn id="3" name="Business"/>
    <x:tableColumn id="4" name="Type"/>
    <x:tableColumn id="5" name="Amount ex sales tax CAD"/>
    <x:tableColumn id="6" name="Tax CAD (not revenue)"/>
    <x:tableColumn id="7" name="Bank settled CAD (informational)"/>
    <x:tableColumn id="8" name="Unique event / invoice ID"/>
    <x:tableColumn id="9" name="Source / 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perationsLedger" displayName="OperationsLedger" ref="A4:P124" headerRowCount="1" totalsRowCount="0" totalsRowShown="0">
  <x:tableColumns count="16">
    <x:tableColumn id="1" name="Month"/>
    <x:tableColumn id="2" name="Business"/>
    <x:tableColumn id="3" name="Closing active customers"/>
    <x:tableColumn id="4" name="New customers"/>
    <x:tableColumn id="5" name="Cancelled customers"/>
    <x:tableColumn id="6" name="Exit MRR CAD"/>
    <x:tableColumn id="7" name="Qualified prospects"/>
    <x:tableColumn id="8" name="New paid wins"/>
    <x:tableColumn id="9" name="Qualified visits"/>
    <x:tableColumn id="10" name="New licenses"/>
    <x:tableColumn id="11" name="Failed runs"/>
    <x:tableColumn id="12" name="Total runs"/>
    <x:tableColumn id="13" name="Owner hours"/>
    <x:tableColumn id="14" name="Automated delivery fraction"/>
    <x:tableColumn id="15" name="Status"/>
    <x:tableColumn id="1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op15Table" displayName="Top15Table" ref="A4:K19" headerRowCount="1" totalsRowCount="0" totalsRowShown="0">
  <x:tableColumns count="11">
    <x:tableColumn id="1" name="Rank"/>
    <x:tableColumn id="2" name="ID"/>
    <x:tableColumn id="3" name="Opportunity"/>
    <x:tableColumn id="4" name="Score"/>
    <x:tableColumn id="5" name="First possible sale"/>
    <x:tableColumn id="6" name="Test budget ceiling CAD"/>
    <x:tableColumn id="7" name="Conditional M3 profit CAD"/>
    <x:tableColumn id="8" name="Delivery auto target"/>
    <x:tableColumn id="9" name="Total h/week at M3"/>
    <x:tableColumn id="10" name="Main risk"/>
    <x:tableColumn id="11" name="Evidence URL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udgetScenarioTable" displayName="BudgetScenarioTable" ref="A4:H8" headerRowCount="1" totalsRowCount="0" totalsRowShown="0">
  <x:tableColumns count="8">
    <x:tableColumn id="1" name="Budget"/>
    <x:tableColumn id="2" name="Basic setup cap"/>
    <x:tableColumn id="3" name="Tools / delivery cap"/>
    <x:tableColumn id="4" name="Acquisition cap"/>
    <x:tableColumn id="5" name="Professional-review reserve"/>
    <x:tableColumn id="6" name="Untouched reserve"/>
    <x:tableColumn id="7" name="Execution"/>
    <x:tableColumn id="8" name="Constraint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rofitMilestoneTable" displayName="ProfitMilestoneTable" ref="A4:E12" headerRowCount="1" totalsRowCount="0" totalsRowShown="0">
  <x:tableColumns count="5">
    <x:tableColumn id="1" name="CAD per month"/>
    <x:tableColumn id="2" name="Pessimistic / stop"/>
    <x:tableColumn id="3" name="Base planning window"/>
    <x:tableColumn id="4" name="Optimistic possibility"/>
    <x:tableColumn id="5" name="Feasibility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10-13T06:18:06.926" personId="{091842C0-0E1D-4FA5-9778-B3A4BF98F3AC}" id="{943B8294-8A4C-4B28-A0E6-2D75B3257DB0}">
    <xltc:text>4% planning allowance, not a published all-in quote; domestic cards 2.9% + CAD0.30, Billing may add fees. International/FX handled with separate reserve.
Sources: https://stripe.com/en-ca/pricing</xltc:text>
  </xltc:threadedComment>
  <xltc:threadedComment ref="C6" dT="2026-10-13T06:18:06.926" personId="{091842C0-0E1D-4FA5-9778-B3A4BF98F3AC}" id="{C8643850-3965-4A67-B45E-10FA8E4A809B}">
    <xltc:text>Domestic standard card price reference; verify international and contract-specific pricing.
Sources: https://stripe.com/en-ca/pricing</xltc:text>
  </xltc:threadedComment>
  <xltc:threadedComment ref="C7" dT="2026-10-13T06:18:06.926" personId="{091842C0-0E1D-4FA5-9778-B3A4BF98F3AC}" id="{1F020BF0-1C55-4267-85C6-3C7EE2952A6C}">
    <xltc:text>15% is the top of published 0–15% contract range, not every contract's actual fee.
Sources: https://support.upwork.com/hc/en-us/articles/211062538-Learn-about-the-Freelancer-Service-Fee</xltc:text>
  </xltc:threadedComment>
  <xltc:threadedComment ref="C8" dT="2026-10-13T06:18:06.926" personId="{091842C0-0E1D-4FA5-9778-B3A4BF98F3AC}" id="{5FA7D0D0-CFE2-4C42-B392-470420F7E985}">
    <xltc:text>15% planning allowance, not a literal platform tariff; includes platform/processing uncertainty.
Sources: https://gumroad.com/pricing; https://itch.io/docs/creators/payments; https://www.lemonsqueezy.com/pricing</xltc:text>
  </xltc:threadedComment>
  <xltc:threadedComment ref="C9" dT="2026-10-13T06:18:06.926" personId="{091842C0-0E1D-4FA5-9778-B3A4BF98F3AC}" id="{63FAA4E8-A6C4-49AA-86D6-D9760B279000}">
    <xltc:text>CAD0.75 planning allowance. Vendor USD flat charges, currency and selected storefront change actual cost.
Sources: https://gumroad.com/pricing; https://itch.io/docs/creators/payments; https://www.lemonsqueezy.com/pricing</xltc:text>
  </xltc:threadedComment>
  <xltc:threadedComment ref="C10" dT="2026-10-13T06:18:06.926" personId="{091842C0-0E1D-4FA5-9778-B3A4BF98F3AC}" id="{EE6DB2E2-B4B5-4CA4-9702-1B6FA8C5382D}">
    <xltc:text>3% model assumption, not a verified industry rate. Excludes collected sales taxes.
Sources: Explicit unverified planning assumption.</xltc:text>
  </xltc:threadedComment>
  <xltc:threadedComment ref="C11" dT="2026-10-13T06:18:06.926" personId="{091842C0-0E1D-4FA5-9778-B3A4BF98F3AC}" id="{04E36FAC-E804-4AF8-A4C9-1577F00C3F98}">
    <xltc:text>2% conservative portfolio reserve, not a quoted exchange rate or fee; replace with actual costs.
Sources: https://stripe.com/en-ca/pricing</xltc:text>
  </xltc:threadedComment>
  <xltc:threadedComment ref="C12" dT="2026-10-13T06:18:06.926" personId="{091842C0-0E1D-4FA5-9778-B3A4BF98F3AC}" id="{F3F936A9-20C1-45AE-B566-6AA8B76C4313}">
    <xltc:text>Planning cap for capped jobs, not owner labour. Excess client-specific subscriptions billed separately.
Sources: Explicit unverified planning assumption.</xltc:text>
  </xltc:threadedComment>
  <xltc:threadedComment ref="C13" dT="2026-10-13T06:18:06.926" personId="{091842C0-0E1D-4FA5-9778-B3A4BF98F3AC}" id="{B8959B19-6440-4F27-91BF-23908207E5E9}">
    <xltc:text>Planning assumption for light workflows with usage limits.
Sources: https://developers.cloudflare.com/workers/platform/pricing/; https://www.make.com/pricing</xltc:text>
  </xltc:threadedComment>
  <xltc:threadedComment ref="C14" dT="2026-10-13T06:18:06.926" personId="{091842C0-0E1D-4FA5-9778-B3A4BF98F3AC}" id="{AEBB43F6-7F0B-448B-9427-FB4621FEE249}">
    <xltc:text>Planning assumption; browser-test cadence and usage must fit this allowance.
Sources: https://www.checklyhq.com/pricing/</xltc:text>
  </xltc:threadedComment>
  <xltc:threadedComment ref="C15" dT="2026-10-13T06:18:06.926" personId="{091842C0-0E1D-4FA5-9778-B3A4BF98F3AC}" id="{FD8BAFE7-C7BD-4223-8616-889C31E81303}">
    <xltc:text>Planning assumption; founder support time separately tracked.
Sources: Explicit unverified planning assumption.</xltc:text>
  </xltc:threadedComment>
  <xltc:threadedComment ref="C16" dT="2026-10-13T06:18:06.926" personId="{091842C0-0E1D-4FA5-9778-B3A4BF98F3AC}" id="{0ED47045-4345-4C01-9E1F-81C9582D338A}">
    <xltc:text>Planning assumption; real qualified rates may be much higher.
Sources: Explicit unverified planning assumption.</xltc:text>
  </xltc:threadedComment>
  <xltc:threadedComment ref="C17" dT="2026-10-13T06:18:06.926" personId="{091842C0-0E1D-4FA5-9778-B3A4BF98F3AC}" id="{2D37BA0E-5AB7-4B81-B615-2217657F1149}">
    <xltc:text>Opportunity-cost input, not an actual cash wage or claim about your income.
Sources: Explicit unverified planning assumption.</xltc:text>
  </xltc:threadedComment>
  <xltc:threadedComment ref="C18" dT="2026-10-13T06:18:06.926" personId="{091842C0-0E1D-4FA5-9778-B3A4BF98F3AC}" id="{554888F1-F900-4327-BE3B-A0116231CB89}">
    <xltc:text>30% placeholder only, not a tax estimate; province, other income, CPP and structure matter.
Sources: https://www.canada.ca/en/revenue-agency/services/tax/businesses/topics/gst-hst-businesses/when-register-charge.html</xltc:text>
  </xltc:threadedComment>
  <xltc:threadedComment ref="C19" dT="2026-10-13T06:18:06.926" personId="{091842C0-0E1D-4FA5-9778-B3A4BF98F3AC}" id="{B1979E8A-1730-4739-B90D-48C982D2166E}">
    <xltc:text>Explicit unverified workload assumption. Validate against actual recorded owner and contractor time.</xltc:text>
  </xltc:threadedComment>
  <xltc:threadedComment ref="C20" dT="2026-10-13T06:18:06.926" personId="{091842C0-0E1D-4FA5-9778-B3A4BF98F3AC}" id="{2CAC7445-8F80-43B5-8921-C366009F3CC4}">
    <xltc:text>Explicit unverified workload assumption. Validate against actual recorded owner and contractor time.</xltc:text>
  </xltc:threadedComment>
  <xltc:threadedComment ref="C21" dT="2026-10-13T06:18:06.926" personId="{091842C0-0E1D-4FA5-9778-B3A4BF98F3AC}" id="{839DA17B-FBD3-4364-BE71-D7B8E8A38010}">
    <xltc:text>Explicit unverified workload assumption. Validate against actual recorded owner and contractor time.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5" dT="2026-10-13T06:18:06.926" personId="{091842C0-0E1D-4FA5-9778-B3A4BF98F3AC}" id="{0BA08869-6ECD-4534-A0EC-6BCFF1E5270C}">
    <xltc:text>Pessimistic: new. Months 1–12 on this row are explicit planning assumptions, not measured results, market averages or probabilities.</xltc:text>
  </xltc:threadedComment>
  <xltc:threadedComment ref="E6" dT="2026-10-13T06:18:06.926" personId="{091842C0-0E1D-4FA5-9778-B3A4BF98F3AC}" id="{E0C985D1-EF57-4A79-904A-D3B0855A332A}">
    <xltc:text>Pessimistic: prices. Months 1–12 on this row are explicit planning assumptions, not measured results, market averages or probabilities.</xltc:text>
  </xltc:threadedComment>
  <xltc:threadedComment ref="E7" dT="2026-10-13T06:18:06.926" personId="{091842C0-0E1D-4FA5-9778-B3A4BF98F3AC}" id="{642B692C-7DC1-4521-9A8A-087DD5765E57}">
    <xltc:text>Pessimistic: attach. Months 1–12 on this row are explicit planning assumptions, not measured results, market averages or probabilities.</xltc:text>
  </xltc:threadedComment>
  <xltc:threadedComment ref="E8" dT="2026-10-13T06:18:06.926" personId="{091842C0-0E1D-4FA5-9778-B3A4BF98F3AC}" id="{505A5522-6B9E-4AC5-833B-A48C8A7609B2}">
    <xltc:text>Pessimistic: churn. Months 1–12 on this row are explicit planning assumptions, not measured results, market averages or probabilities.</xltc:text>
  </xltc:threadedComment>
  <xltc:threadedComment ref="E9" dT="2026-10-13T06:18:06.926" personId="{091842C0-0E1D-4FA5-9778-B3A4BF98F3AC}" id="{A3BEDBDE-342C-40DA-85B2-6A1E42721971}">
    <xltc:text>Pessimistic: care_price. Months 1–12 on this row are explicit planning assumptions, not measured results, market averages or probabilities.</xltc:text>
  </xltc:threadedComment>
  <xltc:threadedComment ref="E10" dT="2026-10-13T06:18:06.926" personId="{091842C0-0E1D-4FA5-9778-B3A4BF98F3AC}" id="{5690813C-EFF9-4AF1-BACF-35C8E2374289}">
    <xltc:text>Pessimistic: newmon. Months 1–12 on this row are explicit planning assumptions, not measured results, market averages or probabilities.</xltc:text>
  </xltc:threadedComment>
  <xltc:threadedComment ref="E11" dT="2026-10-13T06:18:06.926" personId="{091842C0-0E1D-4FA5-9778-B3A4BF98F3AC}" id="{3D507CF9-80A5-41EB-A2DF-4FCDF349B34A}">
    <xltc:text>Pessimistic: monchurn. Months 1–12 on this row are explicit planning assumptions, not measured results, market averages or probabilities.</xltc:text>
  </xltc:threadedComment>
  <xltc:threadedComment ref="E12" dT="2026-10-13T06:18:06.926" personId="{091842C0-0E1D-4FA5-9778-B3A4BF98F3AC}" id="{C5F35F9C-32D9-4DFF-8A7E-EB67EAAC83AE}">
    <xltc:text>Pessimistic: monprice. Months 1–12 on this row are explicit planning assumptions, not measured results, market averages or probabilities.</xltc:text>
  </xltc:threadedComment>
  <xltc:threadedComment ref="E13" dT="2026-10-13T06:18:06.926" personId="{091842C0-0E1D-4FA5-9778-B3A4BF98F3AC}" id="{3AFDF2C3-BDBD-4707-92B2-51C61D3B973D}">
    <xltc:text>Pessimistic: monsetup. Months 1–12 on this row are explicit planning assumptions, not measured results, market averages or probabilities.</xltc:text>
  </xltc:threadedComment>
  <xltc:threadedComment ref="E14" dT="2026-10-13T06:18:06.926" personId="{091842C0-0E1D-4FA5-9778-B3A4BF98F3AC}" id="{DA3BCCAE-4C39-4CE8-9ECC-6D59CA1F1735}">
    <xltc:text>Pessimistic: kits. Months 1–12 on this row are explicit planning assumptions, not measured results, market averages or probabilities.</xltc:text>
  </xltc:threadedComment>
  <xltc:threadedComment ref="E15" dT="2026-10-13T06:18:06.926" personId="{091842C0-0E1D-4FA5-9778-B3A4BF98F3AC}" id="{C87BEA76-5A39-4B63-A16F-0F002DF218C9}">
    <xltc:text>Pessimistic: kitprice. Months 1–12 on this row are explicit planning assumptions, not measured results, market averages or probabilities.</xltc:text>
  </xltc:threadedComment>
  <xltc:threadedComment ref="E16" dT="2026-10-13T06:18:06.926" personId="{091842C0-0E1D-4FA5-9778-B3A4BF98F3AC}" id="{42E704D8-38BF-49AE-A775-53FA67E13318}">
    <xltc:text>Pessimistic: fixed. Months 1–12 on this row are explicit planning assumptions, not measured results, market averages or probabilities.</xltc:text>
  </xltc:threadedComment>
  <xltc:threadedComment ref="E17" dT="2026-10-13T06:18:06.926" personId="{091842C0-0E1D-4FA5-9778-B3A4BF98F3AC}" id="{A5D659CB-3AB0-4C91-BD89-E8F5DE9F5C60}">
    <xltc:text>Pessimistic: marketing. Months 1–12 on this row are explicit planning assumptions, not measured results, market averages or probabilities.</xltc:text>
  </xltc:threadedComment>
  <xltc:threadedComment ref="E18" dT="2026-10-13T06:18:06.926" personId="{091842C0-0E1D-4FA5-9778-B3A4BF98F3AC}" id="{6E756DED-8895-4A7D-B2FF-659FF3F8BE5D}">
    <xltc:text>Pessimistic: contractor_hours. Months 1–12 on this row are explicit planning assumptions, not measured results, market averages or probabilities.</xltc:text>
  </xltc:threadedComment>
  <xltc:threadedComment ref="E19" dT="2026-10-13T06:18:06.926" personId="{091842C0-0E1D-4FA5-9778-B3A4BF98F3AC}" id="{14322C74-33AA-486A-86CE-278EDC7B4303}">
    <xltc:text>Pessimistic: owner_build. Months 1–12 on this row are explicit planning assumptions, not measured results, market averages or probabilities.</xltc:text>
  </xltc:threadedComment>
  <xltc:threadedComment ref="E20" dT="2026-10-13T06:18:06.927" personId="{091842C0-0E1D-4FA5-9778-B3A4BF98F3AC}" id="{FC5A93E5-D25E-4C11-9061-A518C4A852F3}">
    <xltc:text>Pessimistic: owner_sales. Months 1–12 on this row are explicit planning assumptions, not measured results, market averages or probabilities.</xltc:text>
  </xltc:threadedComment>
  <xltc:threadedComment ref="E21" dT="2026-10-13T06:18:06.927" personId="{091842C0-0E1D-4FA5-9778-B3A4BF98F3AC}" id="{DDF36783-A591-412B-B119-AAA345261E55}">
    <xltc:text>Pessimistic: owner_admin. Months 1–12 on this row are explicit planning assumptions, not measured results, market averages or probabilities.</xltc:text>
  </xltc:threadedComment>
  <xltc:threadedComment ref="E22" dT="2026-10-13T06:18:06.927" personId="{091842C0-0E1D-4FA5-9778-B3A4BF98F3AC}" id="{26B04B85-A863-4116-9D02-D388D73C15E1}">
    <xltc:text>Pessimistic: setup_hours. Months 1–12 on this row are explicit planning assumptions, not measured results, market averages or probabilities.</xltc:text>
  </xltc:threadedComment>
  <xltc:threadedComment ref="E23" dT="2026-10-13T06:18:06.927" personId="{091842C0-0E1D-4FA5-9778-B3A4BF98F3AC}" id="{A614F6B0-C4A0-4907-8853-D45EA040FD4E}">
    <xltc:text>Pessimistic: care_hours. Months 1–12 on this row are explicit planning assumptions, not measured results, market averages or probabilities.</xltc:text>
  </xltc:threadedComment>
  <xltc:threadedComment ref="E24" dT="2026-10-13T06:18:06.927" personId="{091842C0-0E1D-4FA5-9778-B3A4BF98F3AC}" id="{B802BA91-0874-427B-9997-62854F006FD4}">
    <xltc:text>Pessimistic: monitor_hours. Months 1–12 on this row are explicit planning assumptions, not measured results, market averages or probabilities.</xltc:text>
  </xltc:threadedComment>
  <xltc:threadedComment ref="E25" dT="2026-10-13T06:18:06.927" personId="{091842C0-0E1D-4FA5-9778-B3A4BF98F3AC}" id="{37CBCC1C-107A-4948-B168-AC9AF3AA7ED8}">
    <xltc:text>Pessimistic: market_share. Months 1–12 on this row are explicit planning assumptions, not measured results, market averages or probabilities.</xltc:text>
  </xltc:threadedComment>
  <xltc:threadedComment ref="E26" dT="2026-10-13T06:18:06.927" personId="{091842C0-0E1D-4FA5-9778-B3A4BF98F3AC}" id="{29D48CA0-8523-45E8-A81E-C9E11D4F8EBC}">
    <xltc:text>Pessimistic: win_rate. Months 1–12 on this row are explicit planning assumptions, not measured results, market averages or probabilities.</xltc:text>
  </xltc:threadedComment>
  <xltc:threadedComment ref="E27" dT="2026-10-13T06:18:06.927" personId="{091842C0-0E1D-4FA5-9778-B3A4BF98F3AC}" id="{1F7CFD4F-253D-4999-A411-D12670C8E28B}">
    <xltc:text>Pessimistic: kit_conversion. Months 1–12 on this row are explicit planning assumptions, not measured results, market averages or probabilities.</xltc:text>
  </xltc:threadedComment>
  <xltc:threadedComment ref="E28" dT="2026-10-13T06:18:06.927" personId="{091842C0-0E1D-4FA5-9778-B3A4BF98F3AC}" id="{730D8F2A-281E-4A56-BA00-716CA416F1CA}">
    <xltc:text>Pessimistic: startup. Months 1–12 on this row are explicit planning assumptions, not measured results, market averages or probabilities.</xltc:text>
  </xltc:threadedComment>
  <xltc:threadedComment ref="E29" dT="2026-10-13T06:18:06.927" personId="{091842C0-0E1D-4FA5-9778-B3A4BF98F3AC}" id="{1A4D7034-6670-43F4-9104-AD4D445265B8}">
    <xltc:text>Base: new. Months 1–12 on this row are explicit planning assumptions, not measured results, market averages or probabilities.</xltc:text>
  </xltc:threadedComment>
  <xltc:threadedComment ref="E30" dT="2026-10-13T06:18:06.927" personId="{091842C0-0E1D-4FA5-9778-B3A4BF98F3AC}" id="{04C14001-1B65-46E7-A673-C7E016AD8EE3}">
    <xltc:text>Base: prices. Months 1–12 on this row are explicit planning assumptions, not measured results, market averages or probabilities.</xltc:text>
  </xltc:threadedComment>
  <xltc:threadedComment ref="E31" dT="2026-10-13T06:18:06.927" personId="{091842C0-0E1D-4FA5-9778-B3A4BF98F3AC}" id="{3855B0E3-952B-4CC3-ACC2-2B0CA04D9102}">
    <xltc:text>Base: attach. Months 1–12 on this row are explicit planning assumptions, not measured results, market averages or probabilities.</xltc:text>
  </xltc:threadedComment>
  <xltc:threadedComment ref="E32" dT="2026-10-13T06:18:06.927" personId="{091842C0-0E1D-4FA5-9778-B3A4BF98F3AC}" id="{45C94033-B8B4-4776-B127-3EB2B07FFA4D}">
    <xltc:text>Base: churn. Months 1–12 on this row are explicit planning assumptions, not measured results, market averages or probabilities.</xltc:text>
  </xltc:threadedComment>
  <xltc:threadedComment ref="E33" dT="2026-10-13T06:18:06.927" personId="{091842C0-0E1D-4FA5-9778-B3A4BF98F3AC}" id="{45C78385-CC07-4744-8FEB-604680FE77DB}">
    <xltc:text>Base: care_price. Months 1–12 on this row are explicit planning assumptions, not measured results, market averages or probabilities.</xltc:text>
  </xltc:threadedComment>
  <xltc:threadedComment ref="E34" dT="2026-10-13T06:18:06.927" personId="{091842C0-0E1D-4FA5-9778-B3A4BF98F3AC}" id="{05FD8A8B-535F-4529-9B5D-404089A4DA15}">
    <xltc:text>Base: newmon. Months 1–12 on this row are explicit planning assumptions, not measured results, market averages or probabilities.</xltc:text>
  </xltc:threadedComment>
  <xltc:threadedComment ref="E35" dT="2026-10-13T06:18:06.927" personId="{091842C0-0E1D-4FA5-9778-B3A4BF98F3AC}" id="{A12C306E-C627-4019-9108-CF984F687F46}">
    <xltc:text>Base: monchurn. Months 1–12 on this row are explicit planning assumptions, not measured results, market averages or probabilities.</xltc:text>
  </xltc:threadedComment>
  <xltc:threadedComment ref="E36" dT="2026-10-13T06:18:06.927" personId="{091842C0-0E1D-4FA5-9778-B3A4BF98F3AC}" id="{EBAFC0AA-14E6-464D-9492-4BEBAA6BEE20}">
    <xltc:text>Base: monprice. Months 1–12 on this row are explicit planning assumptions, not measured results, market averages or probabilities.</xltc:text>
  </xltc:threadedComment>
  <xltc:threadedComment ref="E37" dT="2026-10-13T06:18:06.927" personId="{091842C0-0E1D-4FA5-9778-B3A4BF98F3AC}" id="{74DD4C63-768F-4783-B470-D17B532E8F98}">
    <xltc:text>Base: monsetup. Months 1–12 on this row are explicit planning assumptions, not measured results, market averages or probabilities.</xltc:text>
  </xltc:threadedComment>
  <xltc:threadedComment ref="E38" dT="2026-10-13T06:18:06.927" personId="{091842C0-0E1D-4FA5-9778-B3A4BF98F3AC}" id="{8A31F954-891F-4B31-9273-B6A180D4B9B6}">
    <xltc:text>Base: kits. Months 1–12 on this row are explicit planning assumptions, not measured results, market averages or probabilities.</xltc:text>
  </xltc:threadedComment>
  <xltc:threadedComment ref="E39" dT="2026-10-13T06:18:06.927" personId="{091842C0-0E1D-4FA5-9778-B3A4BF98F3AC}" id="{78A56BF9-DBA5-433F-B977-73EF3CFD1B9B}">
    <xltc:text>Base: kitprice. Months 1–12 on this row are explicit planning assumptions, not measured results, market averages or probabilities.</xltc:text>
  </xltc:threadedComment>
  <xltc:threadedComment ref="E40" dT="2026-10-13T06:18:06.927" personId="{091842C0-0E1D-4FA5-9778-B3A4BF98F3AC}" id="{9356AF65-A1F3-4BF6-9C05-51DFD412191D}">
    <xltc:text>Base: fixed. Months 1–12 on this row are explicit planning assumptions, not measured results, market averages or probabilities.</xltc:text>
  </xltc:threadedComment>
  <xltc:threadedComment ref="E41" dT="2026-10-13T06:18:06.927" personId="{091842C0-0E1D-4FA5-9778-B3A4BF98F3AC}" id="{AEA531C0-6982-40A6-8CBD-A6C901D83B87}">
    <xltc:text>Base: marketing. Months 1–12 on this row are explicit planning assumptions, not measured results, market averages or probabilities.</xltc:text>
  </xltc:threadedComment>
  <xltc:threadedComment ref="E42" dT="2026-10-13T06:18:06.927" personId="{091842C0-0E1D-4FA5-9778-B3A4BF98F3AC}" id="{05E935F8-BB9A-452B-81AB-87375359DCED}">
    <xltc:text>Base: contractor_hours. Months 1–12 on this row are explicit planning assumptions, not measured results, market averages or probabilities.</xltc:text>
  </xltc:threadedComment>
  <xltc:threadedComment ref="E43" dT="2026-10-13T06:18:06.927" personId="{091842C0-0E1D-4FA5-9778-B3A4BF98F3AC}" id="{628A6B1A-3A59-4C54-91A3-94928D059CA2}">
    <xltc:text>Base: owner_build. Months 1–12 on this row are explicit planning assumptions, not measured results, market averages or probabilities.</xltc:text>
  </xltc:threadedComment>
  <xltc:threadedComment ref="E44" dT="2026-10-13T06:18:06.927" personId="{091842C0-0E1D-4FA5-9778-B3A4BF98F3AC}" id="{1F4ED5CA-0502-4326-ADF7-78548D54227C}">
    <xltc:text>Base: owner_sales. Months 1–12 on this row are explicit planning assumptions, not measured results, market averages or probabilities.</xltc:text>
  </xltc:threadedComment>
  <xltc:threadedComment ref="E45" dT="2026-10-13T06:18:06.927" personId="{091842C0-0E1D-4FA5-9778-B3A4BF98F3AC}" id="{C7842F16-E7BF-4AF4-A99E-AE67517E40BE}">
    <xltc:text>Base: owner_admin. Months 1–12 on this row are explicit planning assumptions, not measured results, market averages or probabilities.</xltc:text>
  </xltc:threadedComment>
  <xltc:threadedComment ref="E46" dT="2026-10-13T06:18:06.927" personId="{091842C0-0E1D-4FA5-9778-B3A4BF98F3AC}" id="{61EC8902-1611-436D-9B6E-37D28FB17CB2}">
    <xltc:text>Base: setup_hours. Months 1–12 on this row are explicit planning assumptions, not measured results, market averages or probabilities.</xltc:text>
  </xltc:threadedComment>
  <xltc:threadedComment ref="E47" dT="2026-10-13T06:18:06.927" personId="{091842C0-0E1D-4FA5-9778-B3A4BF98F3AC}" id="{64D73119-75DF-4B02-821F-21B3DB883AA4}">
    <xltc:text>Base: care_hours. Months 1–12 on this row are explicit planning assumptions, not measured results, market averages or probabilities.</xltc:text>
  </xltc:threadedComment>
  <xltc:threadedComment ref="E48" dT="2026-10-13T06:18:06.927" personId="{091842C0-0E1D-4FA5-9778-B3A4BF98F3AC}" id="{2FE0E8F0-A346-4741-BCE3-2C9C8F73A0F8}">
    <xltc:text>Base: monitor_hours. Months 1–12 on this row are explicit planning assumptions, not measured results, market averages or probabilities.</xltc:text>
  </xltc:threadedComment>
  <xltc:threadedComment ref="E49" dT="2026-10-13T06:18:06.927" personId="{091842C0-0E1D-4FA5-9778-B3A4BF98F3AC}" id="{C562D719-CF7C-4EC1-86B5-67C6EDF9F842}">
    <xltc:text>Base: market_share. Months 1–12 on this row are explicit planning assumptions, not measured results, market averages or probabilities.</xltc:text>
  </xltc:threadedComment>
  <xltc:threadedComment ref="E50" dT="2026-10-13T06:18:06.927" personId="{091842C0-0E1D-4FA5-9778-B3A4BF98F3AC}" id="{FB7D7054-A855-461A-956A-1607D0BFAA88}">
    <xltc:text>Base: win_rate. Months 1–12 on this row are explicit planning assumptions, not measured results, market averages or probabilities.</xltc:text>
  </xltc:threadedComment>
  <xltc:threadedComment ref="E51" dT="2026-10-13T06:18:06.927" personId="{091842C0-0E1D-4FA5-9778-B3A4BF98F3AC}" id="{A947EFC5-D8FF-49A0-8C96-47A6AF246E2E}">
    <xltc:text>Base: kit_conversion. Months 1–12 on this row are explicit planning assumptions, not measured results, market averages or probabilities.</xltc:text>
  </xltc:threadedComment>
  <xltc:threadedComment ref="E52" dT="2026-10-13T06:18:06.927" personId="{091842C0-0E1D-4FA5-9778-B3A4BF98F3AC}" id="{B5D12B63-47C9-4278-B6B0-6BC2884BC7DC}">
    <xltc:text>Base: startup. Months 1–12 on this row are explicit planning assumptions, not measured results, market averages or probabilities.</xltc:text>
  </xltc:threadedComment>
  <xltc:threadedComment ref="E53" dT="2026-10-13T06:18:06.927" personId="{091842C0-0E1D-4FA5-9778-B3A4BF98F3AC}" id="{D053D395-5251-443D-8984-28143A103EA2}">
    <xltc:text>Optimistic: new. Months 1–12 on this row are explicit planning assumptions, not measured results, market averages or probabilities.</xltc:text>
  </xltc:threadedComment>
  <xltc:threadedComment ref="E54" dT="2026-10-13T06:18:06.927" personId="{091842C0-0E1D-4FA5-9778-B3A4BF98F3AC}" id="{F6B5BB57-8F35-4AFC-A8A2-323AEEC85EA1}">
    <xltc:text>Optimistic: prices. Months 1–12 on this row are explicit planning assumptions, not measured results, market averages or probabilities.</xltc:text>
  </xltc:threadedComment>
  <xltc:threadedComment ref="E55" dT="2026-10-13T06:18:06.927" personId="{091842C0-0E1D-4FA5-9778-B3A4BF98F3AC}" id="{E767AD92-C655-44B9-B8C9-0A6E247DF8C7}">
    <xltc:text>Optimistic: attach. Months 1–12 on this row are explicit planning assumptions, not measured results, market averages or probabilities.</xltc:text>
  </xltc:threadedComment>
  <xltc:threadedComment ref="E56" dT="2026-10-13T06:18:06.927" personId="{091842C0-0E1D-4FA5-9778-B3A4BF98F3AC}" id="{E4EE966A-0313-435E-919D-9AD9A6AA92D5}">
    <xltc:text>Optimistic: churn. Months 1–12 on this row are explicit planning assumptions, not measured results, market averages or probabilities.</xltc:text>
  </xltc:threadedComment>
  <xltc:threadedComment ref="E57" dT="2026-10-13T06:18:06.927" personId="{091842C0-0E1D-4FA5-9778-B3A4BF98F3AC}" id="{C270DA99-1134-46E5-8370-BB681557602A}">
    <xltc:text>Optimistic: care_price. Months 1–12 on this row are explicit planning assumptions, not measured results, market averages or probabilities.</xltc:text>
  </xltc:threadedComment>
  <xltc:threadedComment ref="E58" dT="2026-10-13T06:18:06.927" personId="{091842C0-0E1D-4FA5-9778-B3A4BF98F3AC}" id="{5BE1ADBA-D382-407F-B18C-D941300EDB4A}">
    <xltc:text>Optimistic: newmon. Months 1–12 on this row are explicit planning assumptions, not measured results, market averages or probabilities.</xltc:text>
  </xltc:threadedComment>
  <xltc:threadedComment ref="E59" dT="2026-10-13T06:18:06.927" personId="{091842C0-0E1D-4FA5-9778-B3A4BF98F3AC}" id="{70275842-E539-4CE7-86BE-5D8428BF2539}">
    <xltc:text>Optimistic: monchurn. Months 1–12 on this row are explicit planning assumptions, not measured results, market averages or probabilities.</xltc:text>
  </xltc:threadedComment>
  <xltc:threadedComment ref="E60" dT="2026-10-13T06:18:06.927" personId="{091842C0-0E1D-4FA5-9778-B3A4BF98F3AC}" id="{B6CE4B94-83B3-4B0F-A866-89953E1CE3FF}">
    <xltc:text>Optimistic: monprice. Months 1–12 on this row are explicit planning assumptions, not measured results, market averages or probabilities.</xltc:text>
  </xltc:threadedComment>
  <xltc:threadedComment ref="E61" dT="2026-10-13T06:18:06.927" personId="{091842C0-0E1D-4FA5-9778-B3A4BF98F3AC}" id="{D8135C50-65FD-4D88-8217-86CBEC6C85A1}">
    <xltc:text>Optimistic: monsetup. Months 1–12 on this row are explicit planning assumptions, not measured results, market averages or probabilities.</xltc:text>
  </xltc:threadedComment>
  <xltc:threadedComment ref="E62" dT="2026-10-13T06:18:06.927" personId="{091842C0-0E1D-4FA5-9778-B3A4BF98F3AC}" id="{AEB7B92A-4588-406B-8B89-620B376C26F3}">
    <xltc:text>Optimistic: kits. Months 1–12 on this row are explicit planning assumptions, not measured results, market averages or probabilities.</xltc:text>
  </xltc:threadedComment>
  <xltc:threadedComment ref="E63" dT="2026-10-13T06:18:06.927" personId="{091842C0-0E1D-4FA5-9778-B3A4BF98F3AC}" id="{DA30E5D4-1BE1-4C55-BFC7-E9EDC72BE975}">
    <xltc:text>Optimistic: kitprice. Months 1–12 on this row are explicit planning assumptions, not measured results, market averages or probabilities.</xltc:text>
  </xltc:threadedComment>
  <xltc:threadedComment ref="E64" dT="2026-10-13T06:18:06.927" personId="{091842C0-0E1D-4FA5-9778-B3A4BF98F3AC}" id="{97735C68-F608-46F9-92A3-1E98BD84A375}">
    <xltc:text>Optimistic: fixed. Months 1–12 on this row are explicit planning assumptions, not measured results, market averages or probabilities.</xltc:text>
  </xltc:threadedComment>
  <xltc:threadedComment ref="E65" dT="2026-10-13T06:18:06.927" personId="{091842C0-0E1D-4FA5-9778-B3A4BF98F3AC}" id="{C6C9E5C8-606F-4F79-9986-E73DF0F03D0F}">
    <xltc:text>Optimistic: marketing. Months 1–12 on this row are explicit planning assumptions, not measured results, market averages or probabilities.</xltc:text>
  </xltc:threadedComment>
  <xltc:threadedComment ref="E66" dT="2026-10-13T06:18:06.927" personId="{091842C0-0E1D-4FA5-9778-B3A4BF98F3AC}" id="{346931BD-AD22-4E3A-BEF5-02198967C2F7}">
    <xltc:text>Optimistic: contractor_hours. Months 1–12 on this row are explicit planning assumptions, not measured results, market averages or probabilities.</xltc:text>
  </xltc:threadedComment>
  <xltc:threadedComment ref="E67" dT="2026-10-13T06:18:06.927" personId="{091842C0-0E1D-4FA5-9778-B3A4BF98F3AC}" id="{DA64F0BF-E930-4FEF-B997-C37E46696F89}">
    <xltc:text>Optimistic: owner_build. Months 1–12 on this row are explicit planning assumptions, not measured results, market averages or probabilities.</xltc:text>
  </xltc:threadedComment>
  <xltc:threadedComment ref="E68" dT="2026-10-13T06:18:06.927" personId="{091842C0-0E1D-4FA5-9778-B3A4BF98F3AC}" id="{C15F47D7-F394-4575-861B-2567137173F9}">
    <xltc:text>Optimistic: owner_sales. Months 1–12 on this row are explicit planning assumptions, not measured results, market averages or probabilities.</xltc:text>
  </xltc:threadedComment>
  <xltc:threadedComment ref="E69" dT="2026-10-13T06:18:06.927" personId="{091842C0-0E1D-4FA5-9778-B3A4BF98F3AC}" id="{15B38791-58B4-4403-9E14-9C91E227BC41}">
    <xltc:text>Optimistic: owner_admin. Months 1–12 on this row are explicit planning assumptions, not measured results, market averages or probabilities.</xltc:text>
  </xltc:threadedComment>
  <xltc:threadedComment ref="E70" dT="2026-10-13T06:18:06.927" personId="{091842C0-0E1D-4FA5-9778-B3A4BF98F3AC}" id="{B97E9F44-CD15-4E6E-8E7F-D3F9AF3DE749}">
    <xltc:text>Optimistic: setup_hours. Months 1–12 on this row are explicit planning assumptions, not measured results, market averages or probabilities.</xltc:text>
  </xltc:threadedComment>
  <xltc:threadedComment ref="E71" dT="2026-10-13T06:18:06.927" personId="{091842C0-0E1D-4FA5-9778-B3A4BF98F3AC}" id="{A0C729F8-B08C-4314-953B-C6A658C795D5}">
    <xltc:text>Optimistic: care_hours. Months 1–12 on this row are explicit planning assumptions, not measured results, market averages or probabilities.</xltc:text>
  </xltc:threadedComment>
  <xltc:threadedComment ref="E72" dT="2026-10-13T06:18:06.927" personId="{091842C0-0E1D-4FA5-9778-B3A4BF98F3AC}" id="{2E417197-067B-4BCC-979A-950D2C45C102}">
    <xltc:text>Optimistic: monitor_hours. Months 1–12 on this row are explicit planning assumptions, not measured results, market averages or probabilities.</xltc:text>
  </xltc:threadedComment>
  <xltc:threadedComment ref="E73" dT="2026-10-13T06:18:06.927" personId="{091842C0-0E1D-4FA5-9778-B3A4BF98F3AC}" id="{30CB9C74-0F18-48DB-8A9F-D05236179196}">
    <xltc:text>Optimistic: market_share. Months 1–12 on this row are explicit planning assumptions, not measured results, market averages or probabilities.</xltc:text>
  </xltc:threadedComment>
  <xltc:threadedComment ref="E74" dT="2026-10-13T06:18:06.927" personId="{091842C0-0E1D-4FA5-9778-B3A4BF98F3AC}" id="{5ED4D42C-E1D8-46CB-90A6-5388C6CDF014}">
    <xltc:text>Optimistic: win_rate. Months 1–12 on this row are explicit planning assumptions, not measured results, market averages or probabilities.</xltc:text>
  </xltc:threadedComment>
  <xltc:threadedComment ref="E75" dT="2026-10-13T06:18:06.927" personId="{091842C0-0E1D-4FA5-9778-B3A4BF98F3AC}" id="{C08A3F7C-C3A4-4B77-B59F-7EDE7B54CF20}">
    <xltc:text>Optimistic: kit_conversion. Months 1–12 on this row are explicit planning assumptions, not measured results, market averages or probabilities.</xltc:text>
  </xltc:threadedComment>
  <xltc:threadedComment ref="E76" dT="2026-10-13T06:18:06.927" personId="{091842C0-0E1D-4FA5-9778-B3A4BF98F3AC}" id="{1FD8311D-F417-4D6F-AB14-1135E6CECFD9}">
    <xltc:text>Optimistic: startup. Months 1–12 on this row are explicit planning assumptions, not measured results, market averages or probabilities.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f090612083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923dde2d7d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8816d7ce53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1f1a21a6704f4149" /><Relationship Type="http://schemas.openxmlformats.org/officeDocument/2006/relationships/vmlDrawing" Target="/xl/drawings/vmldrawing.vml" Id="R44c336ccff094ecb" /><Relationship Type="http://schemas.microsoft.com/office/2017/10/relationships/threadedComment" Target="/xl/threadedcomments/threadedcomment.xml" Id="R3e71b34cb7f24ed0" /><Relationship Type="http://schemas.openxmlformats.org/officeDocument/2006/relationships/table" Target="/xl/tables/table4.xml" Id="R21c1e780466c44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1a2f641797204d44" /><Relationship Type="http://schemas.openxmlformats.org/officeDocument/2006/relationships/vmlDrawing" Target="/xl/drawings/vmldrawing2.vml" Id="Rf42bc017bb994fa1" /><Relationship Type="http://schemas.microsoft.com/office/2017/10/relationships/threadedComment" Target="/xl/threadedcomments/threadedcomment2.xml" Id="Rcb600240cb05427d" /><Relationship Type="http://schemas.openxmlformats.org/officeDocument/2006/relationships/table" Target="/xl/tables/table5.xml" Id="Rae8a8ef0a99846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b34861e37004c19" /><Relationship Type="http://schemas.openxmlformats.org/officeDocument/2006/relationships/table" Target="/xl/tables/table6.xml" Id="R9f8ba6c49a5847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9742c1c7d14b46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f287dd9d903c43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c77d120c2a0b44e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a1f121530b0047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744161537e7042a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f890d07363b949f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8dfbd7424778437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 ht="32" customHeight="1">
      <x:c r="A1" s="3" t="str">
        <x:v>FAST CASH → REPEATABLE SYSTEMS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60 screened opportunities • 47 source references • CAD • checked October 12, 2026</x:v>
      </x:c>
      <x:c r="B2" s="7"/>
      <x:c r="C2" s="7"/>
      <x:c r="D2" s="7"/>
      <x:c r="E2" s="7"/>
      <x:c r="F2" s="7"/>
      <x:c r="G2" s="7"/>
      <x:c r="H2" s="7"/>
    </x:row>
    <x:row r="4" ht="42" customHeight="1">
      <x:c r="A4" s="11" t="str">
        <x:v>Recommended first offer</x:v>
      </x:c>
      <x:c r="B4" s="15" t="str">
        <x:v>48-hour recurring-report automation pilot</x:v>
      </x:c>
      <x:c r="C4" s="15"/>
      <x:c r="D4" s="15"/>
      <x:c r="E4" s="15"/>
      <x:c r="F4" s="15"/>
      <x:c r="G4" s="15"/>
      <x:c r="H4" s="15"/>
    </x:row>
    <x:row r="5" ht="42" customHeight="1">
      <x:c r="A5" s="11" t="str">
        <x:v>Pilot / standard price</x:v>
      </x:c>
      <x:c r="B5" s="15" t="str">
        <x:v>CAD 299 / CAD 699; scope and readiness disclosed</x:v>
      </x:c>
      <x:c r="C5" s="15"/>
      <x:c r="D5" s="15"/>
      <x:c r="E5" s="15"/>
      <x:c r="F5" s="15"/>
      <x:c r="G5" s="15"/>
      <x:c r="H5" s="15"/>
    </x:row>
    <x:row r="6" ht="42" customHeight="1">
      <x:c r="A6" s="11" t="str">
        <x:v>Working-time assumption</x:v>
      </x:c>
      <x:c r="B6" s="15" t="str">
        <x:v>About 20 hours/week initially; not passive from day one</x:v>
      </x:c>
      <x:c r="C6" s="15"/>
      <x:c r="D6" s="15"/>
      <x:c r="E6" s="15"/>
      <x:c r="F6" s="15"/>
      <x:c r="G6" s="15"/>
      <x:c r="H6" s="15"/>
    </x:row>
    <x:row r="7" ht="42" customHeight="1">
      <x:c r="A7" s="11" t="str">
        <x:v>Actual customers / sales</x:v>
      </x:c>
      <x:c r="B7" s="15" t="str">
        <x:v>Not launched; no customers, sales, or account integrations verified</x:v>
      </x:c>
      <x:c r="C7" s="15"/>
      <x:c r="D7" s="15"/>
      <x:c r="E7" s="15"/>
      <x:c r="F7" s="15"/>
      <x:c r="G7" s="15"/>
      <x:c r="H7" s="15"/>
    </x:row>
    <x:row r="8" ht="42" customHeight="1">
      <x:c r="A8" s="11" t="str">
        <x:v>Meaningful monthly profit</x:v>
      </x:c>
      <x:c r="B8" s="15" t="str">
        <x:v>CAD 1,000 monthly operating profit before owner pay and income taxes</x:v>
      </x:c>
      <x:c r="C8" s="15"/>
      <x:c r="D8" s="15"/>
      <x:c r="E8" s="15"/>
      <x:c r="F8" s="15"/>
      <x:c r="G8" s="15"/>
      <x:c r="H8" s="15"/>
    </x:row>
    <x:row r="9" ht="42" customHeight="1">
      <x:c r="A9" s="11" t="str">
        <x:v>Evidence limit</x:v>
      </x:c>
      <x:c r="B9" s="15" t="str">
        <x:v>Desk research is not niche/customer validation</x:v>
      </x:c>
      <x:c r="C9" s="15"/>
      <x:c r="D9" s="15"/>
      <x:c r="E9" s="15"/>
      <x:c r="F9" s="15"/>
      <x:c r="G9" s="15"/>
      <x:c r="H9" s="15"/>
    </x:row>
    <x:row r="10" ht="32" customHeight="1">
      <x:c r="A10" s="11"/>
      <x:c r="B10" s="18" t="str">
        <x:v>No sale is guaranteed. Zero revenue and a loss of startup costs remain possible.</x:v>
      </x:c>
      <x:c r="C10" s="18"/>
      <x:c r="D10" s="18"/>
      <x:c r="E10" s="18"/>
      <x:c r="F10" s="18"/>
      <x:c r="G10" s="18"/>
      <x:c r="H10" s="18"/>
    </x:row>
    <x:row r="11" ht="42" customHeight="1">
      <x:c r="A11" s="11"/>
    </x:row>
    <x:row r="12" ht="42" customHeight="1">
      <x:c r="A12" s="11"/>
    </x:row>
    <x:row r="13" ht="42" customHeight="1">
      <x:c r="A13" s="11" t="str">
        <x:v>Opportunities</x:v>
      </x:c>
      <x:c r="B13" s="22" t="str">
        <x:v>Filter all 60 ideas; source URLs, scope, acquisition, risk, timelines and weighted ranking.</x:v>
      </x:c>
      <x:c r="C13" s="22"/>
      <x:c r="D13" s="22"/>
      <x:c r="E13" s="22"/>
      <x:c r="F13" s="22"/>
      <x:c r="G13" s="22"/>
      <x:c r="H13" s="22"/>
    </x:row>
    <x:row r="14" ht="42" customHeight="1">
      <x:c r="A14" s="11" t="str">
        <x:v>Unit Economics</x:v>
      </x:c>
      <x:c r="B14" s="22" t="str">
        <x:v>Conditional month-3 active-business and month-12 upside illustrations. Not expected earnings; editable volumes/costs.</x:v>
      </x:c>
      <x:c r="C14" s="22"/>
      <x:c r="D14" s="22"/>
      <x:c r="E14" s="22"/>
      <x:c r="F14" s="22"/>
      <x:c r="G14" s="22"/>
      <x:c r="H14" s="22"/>
    </x:row>
    <x:row r="15" ht="42" customHeight="1">
      <x:c r="A15" s="11" t="str">
        <x:v>Sources</x:v>
      </x:c>
      <x:c r="B15" s="22" t="str">
        <x:v>47 primary source references and explicit evidence strength. A marketplace listing is not a sale.</x:v>
      </x:c>
      <x:c r="C15" s="22"/>
      <x:c r="D15" s="22"/>
      <x:c r="E15" s="22"/>
      <x:c r="F15" s="22"/>
      <x:c r="G15" s="22"/>
      <x:c r="H15" s="22"/>
    </x:row>
    <x:row r="16" ht="42" customHeight="1">
      <x:c r="A16" s="11" t="str">
        <x:v>Inputs</x:v>
      </x:c>
      <x:c r="B16" s="22" t="str">
        <x:v>Shared cost assumptions; blue inputs, green cross-sheet links, black formulas.</x:v>
      </x:c>
      <x:c r="C16" s="22"/>
      <x:c r="D16" s="22"/>
      <x:c r="E16" s="22"/>
      <x:c r="F16" s="22"/>
      <x:c r="G16" s="22"/>
      <x:c r="H16" s="22"/>
    </x:row>
    <x:row r="17" ht="42" customHeight="1">
      <x:c r="A17" s="11" t="str">
        <x:v>Scenario Inputs</x:v>
      </x:c>
      <x:c r="B17" s="22" t="str">
        <x:v>Month-by-month assumptions. Conversion, attachment, churn and capacity are hypotheses to validate.</x:v>
      </x:c>
      <x:c r="C17" s="22"/>
      <x:c r="D17" s="22"/>
      <x:c r="E17" s="22"/>
      <x:c r="F17" s="22"/>
      <x:c r="G17" s="22"/>
      <x:c r="H17" s="22"/>
    </x:row>
    <x:row r="18" ht="42" customHeight="1">
      <x:c r="A18" s="11" t="str">
        <x:v>Pessimistic / Base / Optimistic</x:v>
      </x:c>
      <x:c r="B18" s="22" t="str">
        <x:v>Bottom-up 12-month earned revenue and operating profit; owner-time-adjusted profit separately.</x:v>
      </x:c>
      <x:c r="C18" s="22"/>
      <x:c r="D18" s="22"/>
      <x:c r="E18" s="22"/>
      <x:c r="F18" s="22"/>
      <x:c r="G18" s="22"/>
      <x:c r="H18" s="22"/>
    </x:row>
    <x:row r="19" ht="42" customHeight="1">
      <x:c r="A19" s="11" t="str">
        <x:v>Forecast Dashboard</x:v>
      </x:c>
      <x:c r="B19" s="22" t="str">
        <x:v>Compare scenario checkpoints, MRR, customers, workload and required acquisition.</x:v>
      </x:c>
      <x:c r="C19" s="22"/>
      <x:c r="D19" s="22"/>
      <x:c r="E19" s="22"/>
      <x:c r="F19" s="22"/>
      <x:c r="G19" s="22"/>
      <x:c r="H19" s="22"/>
    </x:row>
    <x:row r="20" ht="42" customHeight="1">
      <x:c r="A20" s="11" t="str">
        <x:v>Actuals / Actual Dashboard</x:v>
      </x:c>
      <x:c r="B20" s="22" t="str">
        <x:v>Blank ledger and operations log for REAL performance. No fake customers or imported balances.</x:v>
      </x:c>
      <x:c r="C20" s="22"/>
      <x:c r="D20" s="22"/>
      <x:c r="E20" s="22"/>
      <x:c r="F20" s="22"/>
      <x:c r="G20" s="22"/>
      <x:c r="H20" s="22"/>
    </x:row>
    <x:row r="21" ht="42" customHeight="1">
      <x:c r="A21" s="11" t="str">
        <x:v>30-Day Plan</x:v>
      </x:c>
      <x:c r="B21" s="22" t="str">
        <x:v>One primary offer with daily actions, deliverables and go/no-go gates.</x:v>
      </x:c>
      <x:c r="C21" s="22"/>
      <x:c r="D21" s="22"/>
      <x:c r="E21" s="22"/>
      <x:c r="F21" s="22"/>
      <x:c r="G21" s="22"/>
      <x:c r="H21" s="22"/>
    </x:row>
    <x:row r="22" ht="42" customHeight="1">
      <x:c r="A22" s="11" t="str">
        <x:v>Five Blueprints</x:v>
      </x:c>
      <x:c r="B22" s="22" t="str">
        <x:v>Twenty launch decisions for each finalist; alternatives are not all forecast simultaneously.</x:v>
      </x:c>
      <x:c r="C22" s="22"/>
      <x:c r="D22" s="22"/>
      <x:c r="E22" s="22"/>
      <x:c r="F22" s="22"/>
      <x:c r="G22" s="22"/>
      <x:c r="H22" s="22"/>
    </x:row>
    <x:row r="23" ht="42" customHeight="1">
      <x:c r="A23" s="11" t="str">
        <x:v>Read before spending</x:v>
      </x:c>
      <x:c r="B23" s="22" t="str">
        <x:v>User-set probabilities are absent: scenarios are conditional, not statistically calibrated forecasts.</x:v>
      </x:c>
      <x:c r="C23" s="22"/>
      <x:c r="D23" s="22"/>
      <x:c r="E23" s="22"/>
      <x:c r="F23" s="22"/>
      <x:c r="G23" s="22"/>
      <x:c r="H23" s="22"/>
    </x:row>
    <x:row r="24" ht="42" customHeight="1">
      <x:c r="A24" s="11" t="str">
        <x:v>Currency / taxes</x:v>
      </x:c>
      <x:c r="B24" s="22" t="str">
        <x:v>All planning figures CAD; vendor source quotes may be USD. GST/HST and income taxes are separate.</x:v>
      </x:c>
      <x:c r="C24" s="22"/>
      <x:c r="D24" s="22"/>
      <x:c r="E24" s="22"/>
      <x:c r="F24" s="22"/>
      <x:c r="G24" s="22"/>
      <x:c r="H24" s="22"/>
    </x:row>
    <x:row r="25" ht="42" customHeight="1">
      <x:c r="A25" s="11" t="str">
        <x:v>Phase discipline</x:v>
      </x:c>
      <x:c r="B25" s="22" t="str">
        <x:v>Start O01. Add care and O05 only after proof. Add O03 when clients request it. O02/O04 are alternatives.</x:v>
      </x:c>
      <x:c r="C25" s="22"/>
      <x:c r="D25" s="22"/>
      <x:c r="E25" s="22"/>
      <x:c r="F25" s="22"/>
      <x:c r="G25" s="22"/>
      <x:c r="H25" s="22"/>
    </x:row>
    <x:row r="26" ht="42" customHeight="1">
      <x:c r="A26" s="11" t="str">
        <x:v>Founder capacity</x:v>
      </x:c>
      <x:c r="B26" s="22" t="str">
        <x:v>Plans assume roughly 20 hours/week initially. Support-only hours are not total workload.</x:v>
      </x:c>
      <x:c r="C26" s="22"/>
      <x:c r="D26" s="22"/>
      <x:c r="E26" s="22"/>
      <x:c r="F26" s="22"/>
      <x:c r="G26" s="22"/>
      <x:c r="H26" s="22"/>
    </x:row>
    <x:row r="27" ht="42" customHeight="1">
      <x:c r="A27" s="11" t="str">
        <x:v>Revenue vs money in bank</x:v>
      </x:c>
      <x:c r="B27" s="22" t="str">
        <x:v>Earn setup fees on delivery. Unfulfilled deposits are not earnings; processor payouts may arrive later.</x:v>
      </x:c>
      <x:c r="C27" s="22"/>
      <x:c r="D27" s="22"/>
      <x:c r="E27" s="22"/>
      <x:c r="F27" s="22"/>
      <x:c r="G27" s="22"/>
      <x:c r="H27" s="22"/>
    </x:row>
    <x:row r="28" ht="42" customHeight="1">
      <x:c r="A28" s="11" t="str">
        <x:v>Color key</x:v>
      </x:c>
      <x:c r="B28" s="22" t="str">
        <x:v>Blue/yellow = editable assumptions. Green = linked cells. Black = calculated results.</x:v>
      </x:c>
      <x:c r="C28" s="22"/>
      <x:c r="D28" s="22"/>
      <x:c r="E28" s="22"/>
      <x:c r="F28" s="22"/>
      <x:c r="G28" s="22"/>
      <x:c r="H28" s="22"/>
    </x:row>
    <x:row r="29" ht="42" customHeight="1">
      <x:c r="A29" s="11"/>
    </x:row>
    <x:row r="30" ht="42" customHeight="1">
      <x:c r="A30" s="11"/>
    </x:row>
    <x:row r="31" ht="42" customHeight="1">
      <x:c r="A31" s="11"/>
    </x:row>
    <x:row r="32" ht="42" customHeight="1">
      <x:c r="A32" s="11"/>
    </x:row>
    <x:row r="33" ht="42" customHeight="1">
      <x:c r="A33" s="11"/>
    </x:row>
    <x:row r="34" ht="42" customHeight="1">
      <x:c r="A34" s="11"/>
    </x:row>
    <x:row r="35" ht="42" customHeight="1">
      <x:c r="A35" s="11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8" hidden="0" customWidth="1"/>
    <x:col min="18" max="18" width="38" hidden="0" customWidth="1"/>
    <x:col min="19" max="19" width="3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38" hidden="0" customWidth="1"/>
  </x:cols>
  <x:sheetData>
    <x:row r="1" ht="32" customHeight="1">
      <x:c r="A1" s="3" t="str">
        <x:v>OPPORTUNITY RESEARCH DATABASE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*Timelines and workload are planning estimates, conditional on skill, access and acquisition. All can produce zero sales.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ID</x:v>
      </x:c>
      <x:c r="B4" s="28" t="str">
        <x:v>Priority rank</x:v>
      </x:c>
      <x:c r="C4" s="28" t="str">
        <x:v>Business</x:v>
      </x:c>
      <x:c r="D4" s="28" t="str">
        <x:v>Category</x:v>
      </x:c>
      <x:c r="E4" s="28" t="str">
        <x:v>Specific deliverable</x:v>
      </x:c>
      <x:c r="F4" s="28" t="str">
        <x:v>Target customer</x:v>
      </x:c>
      <x:c r="G4" s="28" t="str">
        <x:v>Startup low (CAD)</x:v>
      </x:c>
      <x:c r="H4" s="28" t="str">
        <x:v>Startup high (CAD)</x:v>
      </x:c>
      <x:c r="I4" s="28" t="str">
        <x:v>Build/launch estimate</x:v>
      </x:c>
      <x:c r="J4" s="28" t="str">
        <x:v>First possible sale*</x:v>
      </x:c>
      <x:c r="K4" s="28" t="str">
        <x:v>Repeatable revenue*</x:v>
      </x:c>
      <x:c r="L4" s="28" t="str">
        <x:v>CAD 1k monthly profit*</x:v>
      </x:c>
      <x:c r="M4" s="28" t="str">
        <x:v>Delivery automation target</x:v>
      </x:c>
      <x:c r="N4" s="28" t="str">
        <x:v>Weekly operations h*</x:v>
      </x:c>
      <x:c r="O4" s="28" t="str">
        <x:v>Weekly sales h*</x:v>
      </x:c>
      <x:c r="P4" s="28" t="str">
        <x:v>Competition</x:v>
      </x:c>
      <x:c r="Q4" s="28" t="str">
        <x:v>Main risks</x:v>
      </x:c>
      <x:c r="R4" s="28" t="str">
        <x:v>First acquisition route</x:v>
      </x:c>
      <x:c r="S4" s="28" t="str">
        <x:v>Validation / stop gate</x:v>
      </x:c>
      <x:c r="T4" s="28" t="str">
        <x:v>Speed 1–5</x:v>
      </x:c>
      <x:c r="U4" s="28" t="str">
        <x:v>Profit 1–5</x:v>
      </x:c>
      <x:c r="V4" s="28" t="str">
        <x:v>Automation 1–5</x:v>
      </x:c>
      <x:c r="W4" s="28" t="str">
        <x:v>Evidence / route 1–5</x:v>
      </x:c>
      <x:c r="X4" s="28" t="str">
        <x:v>Scale 1–5</x:v>
      </x:c>
      <x:c r="Y4" s="28" t="str">
        <x:v>Weighted score /100</x:v>
      </x:c>
      <x:c r="Z4" s="28" t="str">
        <x:v>Evidence grade</x:v>
      </x:c>
      <x:c r="AA4" s="28" t="str">
        <x:v>Source URLs</x:v>
      </x:c>
    </x:row>
    <x:row r="5" ht="90" customHeight="1">
      <x:c r="A5" s="25" t="str">
        <x:v>O01</x:v>
      </x:c>
      <x:c r="B5" s="25" t="n">
        <x:v>1</x:v>
      </x:c>
      <x:c r="C5" s="25" t="str">
        <x:v>Recurring-report automation sprint</x:v>
      </x:c>
      <x:c r="D5" s="25" t="str">
        <x:v>Service</x:v>
      </x:c>
      <x:c r="E5" s="25" t="str">
        <x:v>One recurring agency/operations report from at most two authorized CSV exports; validation + reusable pipeline</x:v>
      </x:c>
      <x:c r="F5" s="25" t="str">
        <x:v>Small agencies and operations teams with a named manual reporting bottleneck</x:v>
      </x:c>
      <x:c r="G5" s="33" t="n">
        <x:v>0</x:v>
      </x:c>
      <x:c r="H5" s="33" t="n">
        <x:v>100</x:v>
      </x:c>
      <x:c r="I5" s="25" t="str">
        <x:v>1–3 days</x:v>
      </x:c>
      <x:c r="J5" s="25" t="str">
        <x:v>2–14 days</x:v>
      </x:c>
      <x:c r="K5" s="25" t="str">
        <x:v>14–45 days</x:v>
      </x:c>
      <x:c r="L5" s="25" t="str">
        <x:v>30–90 days</x:v>
      </x:c>
      <x:c r="M5" s="31" t="n">
        <x:v>0.8</x:v>
      </x:c>
      <x:c r="N5" s="25" t="n">
        <x:v>3</x:v>
      </x:c>
      <x:c r="O5" s="25" t="n">
        <x:v>5</x:v>
      </x:c>
      <x:c r="P5" s="25" t="str">
        <x:v>High</x:v>
      </x:c>
      <x:c r="Q5" s="25" t="str">
        <x:v>Scope creep; buyer can already buy reporting software; sensitive data</x:v>
      </x:c>
      <x:c r="R5" s="25" t="str">
        <x:v>Respond to explicit spreadsheet/reporting requests; introductions from web agencies</x:v>
      </x:c>
      <x:c r="S5" s="25" t="str">
        <x:v>Three paid scoped deliveries; at least two buyers request repeat runs/care</x:v>
      </x:c>
      <x:c r="T5" s="35" t="n">
        <x:v>5</x:v>
      </x:c>
      <x:c r="U5" s="35" t="n">
        <x:v>4</x:v>
      </x:c>
      <x:c r="V5" s="35" t="n">
        <x:v>4</x:v>
      </x:c>
      <x:c r="W5" s="35" t="n">
        <x:v>4</x:v>
      </x:c>
      <x:c r="X5" s="35" t="n">
        <x:v>5</x:v>
      </x:c>
      <x:c r="Y5" s="25" t="n">
        <x:f>(T5*Inputs!$H$5+U5*Inputs!$H$6+V5*Inputs!$H$7+W5*Inputs!$H$8+X5*Inputs!$H$9)/Inputs!$H$10*100</x:f>
        <x:v>88.99999999999999</x:v>
      </x:c>
      <x:c r="Z5" s="25" t="str">
        <x:v>E1</x:v>
      </x:c>
      <x:c r="AA5" s="25" t="str">
        <x:v>https://www.upwork.com/research/in-demand-skills-2026 | https://www.upwork.com/freelance-jobs/automation/ | https://agencyanalytics.com/pricing</x:v>
      </x:c>
    </x:row>
    <x:row r="6" ht="90" customHeight="1">
      <x:c r="A6" s="25" t="str">
        <x:v>O02</x:v>
      </x:c>
      <x:c r="B6" s="25" t="n">
        <x:v>2</x:v>
      </x:c>
      <x:c r="C6" s="25" t="str">
        <x:v>Supplier catalog cleanup</x:v>
      </x:c>
      <x:c r="D6" s="25" t="str">
        <x:v>Service</x:v>
      </x:c>
      <x:c r="E6" s="25" t="str">
        <x:v>Normalize a supplier CSV, map fields, repair SKUs and produce a dry-run import error report; no live write</x:v>
      </x:c>
      <x:c r="F6" s="25" t="str">
        <x:v>Shopify merchants and catalog agencies</x:v>
      </x:c>
      <x:c r="G6" s="33" t="n">
        <x:v>0</x:v>
      </x:c>
      <x:c r="H6" s="33" t="n">
        <x:v>100</x:v>
      </x:c>
      <x:c r="I6" s="25" t="str">
        <x:v>1–3 days</x:v>
      </x:c>
      <x:c r="J6" s="25" t="str">
        <x:v>2–14 days</x:v>
      </x:c>
      <x:c r="K6" s="25" t="str">
        <x:v>14–45 days</x:v>
      </x:c>
      <x:c r="L6" s="25" t="str">
        <x:v>30–90 days</x:v>
      </x:c>
      <x:c r="M6" s="31" t="n">
        <x:v>0.8</x:v>
      </x:c>
      <x:c r="N6" s="25" t="n">
        <x:v>4</x:v>
      </x:c>
      <x:c r="O6" s="25" t="n">
        <x:v>4</x:v>
      </x:c>
      <x:c r="P6" s="25" t="str">
        <x:v>High</x:v>
      </x:c>
      <x:c r="Q6" s="25" t="str">
        <x:v>Accidental overwrites; dirty source images/data; existing cheap import tools</x:v>
      </x:c>
      <x:c r="R6" s="25" t="str">
        <x:v>Merchant requests for failed imports; Shopify agency subcontracting</x:v>
      </x:c>
      <x:c r="S6" s="25" t="str">
        <x:v>Two paid files pass a sandbox import; delivery under four hours</x:v>
      </x:c>
      <x:c r="T6" s="35" t="n">
        <x:v>5</x:v>
      </x:c>
      <x:c r="U6" s="35" t="n">
        <x:v>4</x:v>
      </x:c>
      <x:c r="V6" s="35" t="n">
        <x:v>4</x:v>
      </x:c>
      <x:c r="W6" s="35" t="n">
        <x:v>4</x:v>
      </x:c>
      <x:c r="X6" s="35" t="n">
        <x:v>4</x:v>
      </x:c>
      <x:c r="Y6" s="25" t="n">
        <x:f>(T6*Inputs!$H$5+U6*Inputs!$H$6+V6*Inputs!$H$7+W6*Inputs!$H$8+X6*Inputs!$H$9)/Inputs!$H$10*100</x:f>
        <x:v>86.99999999999999</x:v>
      </x:c>
      <x:c r="Z6" s="25" t="str">
        <x:v>E2</x:v>
      </x:c>
      <x:c r="AA6" s="25" t="str">
        <x:v>https://matrixify.app/pricing/ | https://apps.shopify.com/excel-export-import | https://www.upwork.com/freelance-jobs/automation/</x:v>
      </x:c>
    </x:row>
    <x:row r="7" ht="90" customHeight="1">
      <x:c r="A7" s="25" t="str">
        <x:v>O03</x:v>
      </x:c>
      <x:c r="B7" s="25" t="n">
        <x:v>3</x:v>
      </x:c>
      <x:c r="C7" s="25" t="str">
        <x:v>Agency form-path monitoring</x:v>
      </x:c>
      <x:c r="D7" s="25" t="str">
        <x:v>Subscription</x:v>
      </x:c>
      <x:c r="E7" s="25" t="str">
        <x:v>Permission-based checks of two or three critical form paths; test inbox + alert ownership; no repair SLA</x:v>
      </x:c>
      <x:c r="F7" s="25" t="str">
        <x:v>Web agencies maintaining small lead-generation sites</x:v>
      </x:c>
      <x:c r="G7" s="33" t="n">
        <x:v>25</x:v>
      </x:c>
      <x:c r="H7" s="33" t="n">
        <x:v>150</x:v>
      </x:c>
      <x:c r="I7" s="25" t="str">
        <x:v>3–7 days</x:v>
      </x:c>
      <x:c r="J7" s="25" t="str">
        <x:v>7–21 days</x:v>
      </x:c>
      <x:c r="K7" s="25" t="str">
        <x:v>21–60 days</x:v>
      </x:c>
      <x:c r="L7" s="25" t="str">
        <x:v>60–180 days</x:v>
      </x:c>
      <x:c r="M7" s="31" t="n">
        <x:v>0.9</x:v>
      </x:c>
      <x:c r="N7" s="25" t="n">
        <x:v>2</x:v>
      </x:c>
      <x:c r="O7" s="25" t="n">
        <x:v>4</x:v>
      </x:c>
      <x:c r="P7" s="25" t="str">
        <x:v>High</x:v>
      </x:c>
      <x:c r="Q7" s="25" t="str">
        <x:v>False alerts; browser changes; monitoring expense; clients expect 24/7 repairs</x:v>
      </x:c>
      <x:c r="R7" s="25" t="str">
        <x:v>Sell a pilot to an agency managing at least ten sites; use existing service buyers</x:v>
      </x:c>
      <x:c r="S7" s="25" t="str">
        <x:v>At least three paying sites; &lt;5% unactionable alerts; under 30 minutes/site/month</x:v>
      </x:c>
      <x:c r="T7" s="35" t="n">
        <x:v>4</x:v>
      </x:c>
      <x:c r="U7" s="35" t="n">
        <x:v>4</x:v>
      </x:c>
      <x:c r="V7" s="35" t="n">
        <x:v>5</x:v>
      </x:c>
      <x:c r="W7" s="35" t="n">
        <x:v>4</x:v>
      </x:c>
      <x:c r="X7" s="35" t="n">
        <x:v>5</x:v>
      </x:c>
      <x:c r="Y7" s="25" t="n">
        <x:f>(T7*Inputs!$H$5+U7*Inputs!$H$6+V7*Inputs!$H$7+W7*Inputs!$H$8+X7*Inputs!$H$9)/Inputs!$H$10*100</x:f>
        <x:v>86</x:v>
      </x:c>
      <x:c r="Z7" s="25" t="str">
        <x:v>E2</x:v>
      </x:c>
      <x:c r="AA7" s="25" t="str">
        <x:v>https://www.checklyhq.com/pricing/ | https://wpbuffs.com/plans/</x:v>
      </x:c>
    </x:row>
    <x:row r="8" ht="90" customHeight="1">
      <x:c r="A8" s="25" t="str">
        <x:v>O04</x:v>
      </x:c>
      <x:c r="B8" s="25" t="n">
        <x:v>4</x:v>
      </x:c>
      <x:c r="C8" s="25" t="str">
        <x:v>Purchase-order PDF to validated CSV</x:v>
      </x:c>
      <x:c r="D8" s="25" t="str">
        <x:v>Service</x:v>
      </x:c>
      <x:c r="E8" s="25" t="str">
        <x:v>One recurring document family; extract agreed fields into a reviewable CSV with arithmetic checks</x:v>
      </x:c>
      <x:c r="F8" s="25" t="str">
        <x:v>Small distributors or ecommerce operations with repeated purchase orders</x:v>
      </x:c>
      <x:c r="G8" s="33" t="n">
        <x:v>0</x:v>
      </x:c>
      <x:c r="H8" s="33" t="n">
        <x:v>150</x:v>
      </x:c>
      <x:c r="I8" s="25" t="str">
        <x:v>2–5 days</x:v>
      </x:c>
      <x:c r="J8" s="25" t="str">
        <x:v>3–21 days</x:v>
      </x:c>
      <x:c r="K8" s="25" t="str">
        <x:v>21–60 days</x:v>
      </x:c>
      <x:c r="L8" s="25" t="str">
        <x:v>45–120 days</x:v>
      </x:c>
      <x:c r="M8" s="31" t="n">
        <x:v>0.75</x:v>
      </x:c>
      <x:c r="N8" s="25" t="n">
        <x:v>4</x:v>
      </x:c>
      <x:c r="O8" s="25" t="n">
        <x:v>5</x:v>
      </x:c>
      <x:c r="P8" s="25" t="str">
        <x:v>High</x:v>
      </x:c>
      <x:c r="Q8" s="25" t="str">
        <x:v>Wrong quantities/totals; OCR exceptions; commercially confidential inputs</x:v>
      </x:c>
      <x:c r="R8" s="25" t="str">
        <x:v>Explicit PDF-to-spreadsheet requests and bookkeeper/operations referrals</x:v>
      </x:c>
      <x:c r="S8" s="25" t="str">
        <x:v>Three paid clients with representative files and accepted exception process</x:v>
      </x:c>
      <x:c r="T8" s="35" t="n">
        <x:v>4</x:v>
      </x:c>
      <x:c r="U8" s="35" t="n">
        <x:v>4</x:v>
      </x:c>
      <x:c r="V8" s="35" t="n">
        <x:v>4</x:v>
      </x:c>
      <x:c r="W8" s="35" t="n">
        <x:v>4</x:v>
      </x:c>
      <x:c r="X8" s="35" t="n">
        <x:v>4</x:v>
      </x:c>
      <x:c r="Y8" s="25" t="n">
        <x:f>(T8*Inputs!$H$5+U8*Inputs!$H$6+V8*Inputs!$H$7+W8*Inputs!$H$8+X8*Inputs!$H$9)/Inputs!$H$10*100</x:f>
        <x:v>80</x:v>
      </x:c>
      <x:c r="Z8" s="25" t="str">
        <x:v>E2</x:v>
      </x:c>
      <x:c r="AA8" s="25" t="str">
        <x:v>https://parseur.com/pricing | https://www.upwork.com/research/in-demand-skills-2026</x:v>
      </x:c>
    </x:row>
    <x:row r="9" ht="90" customHeight="1">
      <x:c r="A9" s="25" t="str">
        <x:v>O05</x:v>
      </x:c>
      <x:c r="B9" s="25" t="n">
        <x:v>5</x:v>
      </x:c>
      <x:c r="C9" s="25" t="str">
        <x:v>Licensed report-automation toolkit</x:v>
      </x:c>
      <x:c r="D9" s="25" t="str">
        <x:v>Digital product</x:v>
      </x:c>
      <x:c r="E9" s="25" t="str">
        <x:v>Original source code, three tested CSV mappings, fixtures, reports and setup guide; no client data</x:v>
      </x:c>
      <x:c r="F9" s="25" t="str">
        <x:v>Junior freelancers and small agencies who prefer self-service</x:v>
      </x:c>
      <x:c r="G9" s="33" t="n">
        <x:v>0</x:v>
      </x:c>
      <x:c r="H9" s="33" t="n">
        <x:v>100</x:v>
      </x:c>
      <x:c r="I9" s="25" t="str">
        <x:v>2–5 days after service proof</x:v>
      </x:c>
      <x:c r="J9" s="25" t="str">
        <x:v>3–21 days</x:v>
      </x:c>
      <x:c r="K9" s="25" t="str">
        <x:v>30–90 days</x:v>
      </x:c>
      <x:c r="L9" s="25" t="str">
        <x:v>60–180 days</x:v>
      </x:c>
      <x:c r="M9" s="31" t="n">
        <x:v>0.95</x:v>
      </x:c>
      <x:c r="N9" s="25" t="n">
        <x:v>1</x:v>
      </x:c>
      <x:c r="O9" s="25" t="n">
        <x:v>3</x:v>
      </x:c>
      <x:c r="P9" s="25" t="str">
        <x:v>High</x:v>
      </x:c>
      <x:c r="Q9" s="25" t="str">
        <x:v>Free alternatives; no discovery; support takes longer than product margin</x:v>
      </x:c>
      <x:c r="R9" s="25" t="str">
        <x:v>Offer as a downsell to qualified service leads; useful authorized community demo</x:v>
      </x:c>
      <x:c r="S9" s="25" t="str">
        <x:v>Three paid licenses before expanding; revise if &lt;2 sales from 200 qualified visits</x:v>
      </x:c>
      <x:c r="T9" s="35" t="n">
        <x:v>4</x:v>
      </x:c>
      <x:c r="U9" s="35" t="n">
        <x:v>3</x:v>
      </x:c>
      <x:c r="V9" s="35" t="n">
        <x:v>5</x:v>
      </x:c>
      <x:c r="W9" s="35" t="n">
        <x:v>3</x:v>
      </x:c>
      <x:c r="X9" s="35" t="n">
        <x:v>5</x:v>
      </x:c>
      <x:c r="Y9" s="25" t="n">
        <x:f>(T9*Inputs!$H$5+U9*Inputs!$H$6+V9*Inputs!$H$7+W9*Inputs!$H$8+X9*Inputs!$H$9)/Inputs!$H$10*100</x:f>
        <x:v>79</x:v>
      </x:c>
      <x:c r="Z9" s="25" t="str">
        <x:v>E2</x:v>
      </x:c>
      <x:c r="AA9" s="25" t="str">
        <x:v>https://agencyanalytics.com/pricing | https://gumroad.com/pricing | https://itch.io/docs/creators/payments</x:v>
      </x:c>
    </x:row>
    <x:row r="10" ht="90" customHeight="1">
      <x:c r="A10" s="25" t="str">
        <x:v>O06</x:v>
      </x:c>
      <x:c r="B10" s="25" t="n">
        <x:v>6</x:v>
      </x:c>
      <x:c r="C10" s="25" t="str">
        <x:v>Broken webhook/integration repair</x:v>
      </x:c>
      <x:c r="D10" s="25" t="str">
        <x:v>Service</x:v>
      </x:c>
      <x:c r="E10" s="25" t="str">
        <x:v>Diagnose and repair one existing authorized integration, with retry and duplicate protection</x:v>
      </x:c>
      <x:c r="F10" s="25" t="str">
        <x:v>Small businesses with a failed Zapier/Make/n8n connection</x:v>
      </x:c>
      <x:c r="G10" s="33" t="n">
        <x:v>0</x:v>
      </x:c>
      <x:c r="H10" s="33" t="n">
        <x:v>100</x:v>
      </x:c>
      <x:c r="I10" s="25" t="str">
        <x:v>1–2 days</x:v>
      </x:c>
      <x:c r="J10" s="25" t="str">
        <x:v>1–14 days</x:v>
      </x:c>
      <x:c r="K10" s="25" t="str">
        <x:v>14–45 days</x:v>
      </x:c>
      <x:c r="L10" s="25" t="str">
        <x:v>30–90 days</x:v>
      </x:c>
      <x:c r="M10" s="31" t="n">
        <x:v>0.6</x:v>
      </x:c>
      <x:c r="N10" s="25" t="n">
        <x:v>4</x:v>
      </x:c>
      <x:c r="O10" s="25" t="n">
        <x:v>5</x:v>
      </x:c>
      <x:c r="P10" s="25" t="str">
        <x:v>High</x:v>
      </x:c>
      <x:c r="Q10" s="25" t="str">
        <x:v>Unknown legacy code; incident urgency; customer credentials</x:v>
      </x:c>
      <x:c r="R10" s="25" t="str">
        <x:v>Time-sensitive troubleshooting job requests; one-platform specialization</x:v>
      </x:c>
      <x:c r="S10" s="25" t="str">
        <x:v>Only quote after an inspection; stop if fixed-price scope cannot be bounded</x:v>
      </x:c>
      <x:c r="T10" s="35" t="n">
        <x:v>5</x:v>
      </x:c>
      <x:c r="U10" s="35" t="n">
        <x:v>3</x:v>
      </x:c>
      <x:c r="V10" s="35" t="n">
        <x:v>3</x:v>
      </x:c>
      <x:c r="W10" s="35" t="n">
        <x:v>4</x:v>
      </x:c>
      <x:c r="X10" s="35" t="n">
        <x:v>3</x:v>
      </x:c>
      <x:c r="Y10" s="25" t="n">
        <x:f>(T10*Inputs!$H$5+U10*Inputs!$H$6+V10*Inputs!$H$7+W10*Inputs!$H$8+X10*Inputs!$H$9)/Inputs!$H$10*100</x:f>
        <x:v>76</x:v>
      </x:c>
      <x:c r="Z10" s="25" t="str">
        <x:v>E3</x:v>
      </x:c>
      <x:c r="AA10" s="25" t="str">
        <x:v>https://www.upwork.com/freelance-jobs/automation/ | https://www.make.com/pricing | https://n8n.io/pricing/</x:v>
      </x:c>
    </x:row>
    <x:row r="11" ht="90" customHeight="1">
      <x:c r="A11" s="25" t="str">
        <x:v>O07</x:v>
      </x:c>
      <x:c r="B11" s="25" t="n">
        <x:v>7</x:v>
      </x:c>
      <x:c r="C11" s="25" t="str">
        <x:v>Spreadsheet refresh/repair</x:v>
      </x:c>
      <x:c r="D11" s="25" t="str">
        <x:v>Service</x:v>
      </x:c>
      <x:c r="E11" s="25" t="str">
        <x:v>Repair a recurring inventory or operations spreadsheet and add repeatable import checks</x:v>
      </x:c>
      <x:c r="F11" s="25" t="str">
        <x:v>Small businesses already relying on a broken or manual workbook</x:v>
      </x:c>
      <x:c r="G11" s="33" t="n">
        <x:v>0</x:v>
      </x:c>
      <x:c r="H11" s="33" t="n">
        <x:v>60</x:v>
      </x:c>
      <x:c r="I11" s="25" t="str">
        <x:v>1–2 days</x:v>
      </x:c>
      <x:c r="J11" s="25" t="str">
        <x:v>1–14 days</x:v>
      </x:c>
      <x:c r="K11" s="25" t="str">
        <x:v>14–45 days</x:v>
      </x:c>
      <x:c r="L11" s="25" t="str">
        <x:v>30–90 days</x:v>
      </x:c>
      <x:c r="M11" s="31" t="n">
        <x:v>0.65</x:v>
      </x:c>
      <x:c r="N11" s="25" t="n">
        <x:v>4</x:v>
      </x:c>
      <x:c r="O11" s="25" t="n">
        <x:v>5</x:v>
      </x:c>
      <x:c r="P11" s="25" t="str">
        <x:v>High</x:v>
      </x:c>
      <x:c r="Q11" s="25" t="str">
        <x:v>Opaque formulas; fragile dependencies; user input errors</x:v>
      </x:c>
      <x:c r="R11" s="25" t="str">
        <x:v>Answer explicit Excel/Google Sheets jobs; referral from an operator</x:v>
      </x:c>
      <x:c r="S11" s="25" t="str">
        <x:v>Paid small repair first; do not accept regulated financial calculations</x:v>
      </x:c>
      <x:c r="T11" s="35" t="n">
        <x:v>5</x:v>
      </x:c>
      <x:c r="U11" s="35" t="n">
        <x:v>3</x:v>
      </x:c>
      <x:c r="V11" s="35" t="n">
        <x:v>3</x:v>
      </x:c>
      <x:c r="W11" s="35" t="n">
        <x:v>4</x:v>
      </x:c>
      <x:c r="X11" s="35" t="n">
        <x:v>3</x:v>
      </x:c>
      <x:c r="Y11" s="25" t="n">
        <x:f>(T11*Inputs!$H$5+U11*Inputs!$H$6+V11*Inputs!$H$7+W11*Inputs!$H$8+X11*Inputs!$H$9)/Inputs!$H$10*100</x:f>
        <x:v>76</x:v>
      </x:c>
      <x:c r="Z11" s="25" t="str">
        <x:v>E1</x:v>
      </x:c>
      <x:c r="AA11" s="25" t="str">
        <x:v>https://www.upwork.com/research/in-demand-skills-2026 | https://www.upwork.com/freelance-jobs/automation/</x:v>
      </x:c>
    </x:row>
    <x:row r="12" ht="90" customHeight="1">
      <x:c r="A12" s="25" t="str">
        <x:v>O08</x:v>
      </x:c>
      <x:c r="B12" s="25" t="n">
        <x:v>8</x:v>
      </x:c>
      <x:c r="C12" s="25" t="str">
        <x:v>CRM duplicate-cleanup sprint</x:v>
      </x:c>
      <x:c r="D12" s="25" t="str">
        <x:v>Service</x:v>
      </x:c>
      <x:c r="E12" s="25" t="str">
        <x:v>Audit a client-owned CRM export; propose reversible merges and a prevention rule</x:v>
      </x:c>
      <x:c r="F12" s="25" t="str">
        <x:v>Agencies and sales teams with duplicate records</x:v>
      </x:c>
      <x:c r="G12" s="33" t="n">
        <x:v>0</x:v>
      </x:c>
      <x:c r="H12" s="33" t="n">
        <x:v>100</x:v>
      </x:c>
      <x:c r="I12" s="25" t="str">
        <x:v>2–4 days</x:v>
      </x:c>
      <x:c r="J12" s="25" t="str">
        <x:v>3–21 days</x:v>
      </x:c>
      <x:c r="K12" s="25" t="str">
        <x:v>21–60 days</x:v>
      </x:c>
      <x:c r="L12" s="25" t="str">
        <x:v>45–120 days</x:v>
      </x:c>
      <x:c r="M12" s="31" t="n">
        <x:v>0.7</x:v>
      </x:c>
      <x:c r="N12" s="25" t="n">
        <x:v>4</x:v>
      </x:c>
      <x:c r="O12" s="25" t="n">
        <x:v>4</x:v>
      </x:c>
      <x:c r="P12" s="25" t="str">
        <x:v>High</x:v>
      </x:c>
      <x:c r="Q12" s="25" t="str">
        <x:v>Merging distinct people; marketing consent loss; personal data</x:v>
      </x:c>
      <x:c r="R12" s="25" t="str">
        <x:v>CRM consultants and explicit data-cleaning requests; never resell customer records</x:v>
      </x:c>
      <x:c r="S12" s="25" t="str">
        <x:v>Every merge reviewed; backups verified before any approved write</x:v>
      </x:c>
      <x:c r="T12" s="35" t="n">
        <x:v>4</x:v>
      </x:c>
      <x:c r="U12" s="35" t="n">
        <x:v>4</x:v>
      </x:c>
      <x:c r="V12" s="35" t="n">
        <x:v>3</x:v>
      </x:c>
      <x:c r="W12" s="35" t="n">
        <x:v>4</x:v>
      </x:c>
      <x:c r="X12" s="35" t="n">
        <x:v>3</x:v>
      </x:c>
      <x:c r="Y12" s="25" t="n">
        <x:f>(T12*Inputs!$H$5+U12*Inputs!$H$6+V12*Inputs!$H$7+W12*Inputs!$H$8+X12*Inputs!$H$9)/Inputs!$H$10*100</x:f>
        <x:v>74</x:v>
      </x:c>
      <x:c r="Z12" s="25" t="str">
        <x:v>E2</x:v>
      </x:c>
      <x:c r="AA12" s="25" t="str">
        <x:v>https://www.insycle.com/pricing/ | https://www.upwork.com/research/in-demand-skills-2026</x:v>
      </x:c>
    </x:row>
    <x:row r="13" ht="90" customHeight="1">
      <x:c r="A13" s="25" t="str">
        <x:v>O11</x:v>
      </x:c>
      <x:c r="B13" s="25" t="n">
        <x:v>9</x:v>
      </x:c>
      <x:c r="C13" s="25" t="str">
        <x:v>Authorized export/API connector</x:v>
      </x:c>
      <x:c r="D13" s="25" t="str">
        <x:v>Service</x:v>
      </x:c>
      <x:c r="E13" s="25" t="str">
        <x:v>Connect one documented customer-authorized API to an agreed CSV export and refresh job</x:v>
      </x:c>
      <x:c r="F13" s="25" t="str">
        <x:v>Small teams using a niche SaaS without the right export</x:v>
      </x:c>
      <x:c r="G13" s="33" t="n">
        <x:v>0</x:v>
      </x:c>
      <x:c r="H13" s="33" t="n">
        <x:v>150</x:v>
      </x:c>
      <x:c r="I13" s="25" t="str">
        <x:v>3–7 days</x:v>
      </x:c>
      <x:c r="J13" s="25" t="str">
        <x:v>5–21 days</x:v>
      </x:c>
      <x:c r="K13" s="25" t="str">
        <x:v>21–60 days</x:v>
      </x:c>
      <x:c r="L13" s="25" t="str">
        <x:v>45–120 days</x:v>
      </x:c>
      <x:c r="M13" s="31" t="n">
        <x:v>0.8</x:v>
      </x:c>
      <x:c r="N13" s="25" t="n">
        <x:v>4</x:v>
      </x:c>
      <x:c r="O13" s="25" t="n">
        <x:v>5</x:v>
      </x:c>
      <x:c r="P13" s="25" t="str">
        <x:v>Medium-high</x:v>
      </x:c>
      <x:c r="Q13" s="25" t="str">
        <x:v>API changes; access approval; weak reuse between customers</x:v>
      </x:c>
      <x:c r="R13" s="25" t="str">
        <x:v>Search buyer requests naming the unsupported integration</x:v>
      </x:c>
      <x:c r="S13" s="25" t="str">
        <x:v>Two buyers need the same integration; written data access authorization</x:v>
      </x:c>
      <x:c r="T13" s="35" t="n">
        <x:v>4</x:v>
      </x:c>
      <x:c r="U13" s="35" t="n">
        <x:v>4</x:v>
      </x:c>
      <x:c r="V13" s="35" t="n">
        <x:v>3</x:v>
      </x:c>
      <x:c r="W13" s="35" t="n">
        <x:v>3</x:v>
      </x:c>
      <x:c r="X13" s="35" t="n">
        <x:v>4</x:v>
      </x:c>
      <x:c r="Y13" s="25" t="n">
        <x:f>(T13*Inputs!$H$5+U13*Inputs!$H$6+V13*Inputs!$H$7+W13*Inputs!$H$8+X13*Inputs!$H$9)/Inputs!$H$10*100</x:f>
        <x:v>74</x:v>
      </x:c>
      <x:c r="Z13" s="25" t="str">
        <x:v>E3</x:v>
      </x:c>
      <x:c r="AA13" s="25" t="str">
        <x:v>https://www.upwork.com/freelance-jobs/automation/ | https://www.make.com/pricing</x:v>
      </x:c>
    </x:row>
    <x:row r="14" ht="90" customHeight="1">
      <x:c r="A14" s="25" t="str">
        <x:v>O09</x:v>
      </x:c>
      <x:c r="B14" s="25" t="n">
        <x:v>10</x:v>
      </x:c>
      <x:c r="C14" s="25" t="str">
        <x:v>Proposal-document automation</x:v>
      </x:c>
      <x:c r="D14" s="25" t="str">
        <x:v>Service</x:v>
      </x:c>
      <x:c r="E14" s="25" t="str">
        <x:v>Generate draft proposals from approved intake fields and client-owned templates</x:v>
      </x:c>
      <x:c r="F14" s="25" t="str">
        <x:v>Specialized agencies and trade-service offices</x:v>
      </x:c>
      <x:c r="G14" s="33" t="n">
        <x:v>0</x:v>
      </x:c>
      <x:c r="H14" s="33" t="n">
        <x:v>100</x:v>
      </x:c>
      <x:c r="I14" s="25" t="str">
        <x:v>2–4 days</x:v>
      </x:c>
      <x:c r="J14" s="25" t="str">
        <x:v>3–21 days</x:v>
      </x:c>
      <x:c r="K14" s="25" t="str">
        <x:v>21–60 days</x:v>
      </x:c>
      <x:c r="L14" s="25" t="str">
        <x:v>45–120 days</x:v>
      </x:c>
      <x:c r="M14" s="31" t="n">
        <x:v>0.8</x:v>
      </x:c>
      <x:c r="N14" s="25" t="n">
        <x:v>3</x:v>
      </x:c>
      <x:c r="O14" s="25" t="n">
        <x:v>4</x:v>
      </x:c>
      <x:c r="P14" s="25" t="str">
        <x:v>High</x:v>
      </x:c>
      <x:c r="Q14" s="25" t="str">
        <x:v>Wrong scope/pricing clauses; generic features already available</x:v>
      </x:c>
      <x:c r="R14" s="25" t="str">
        <x:v>Partner with a consultant who sees repeated proposal work</x:v>
      </x:c>
      <x:c r="S14" s="25" t="str">
        <x:v>Sell one template family; require human approval before sending</x:v>
      </x:c>
      <x:c r="T14" s="35" t="n">
        <x:v>4</x:v>
      </x:c>
      <x:c r="U14" s="35" t="n">
        <x:v>3</x:v>
      </x:c>
      <x:c r="V14" s="35" t="n">
        <x:v>4</x:v>
      </x:c>
      <x:c r="W14" s="35" t="n">
        <x:v>4</x:v>
      </x:c>
      <x:c r="X14" s="35" t="n">
        <x:v>3</x:v>
      </x:c>
      <x:c r="Y14" s="25" t="n">
        <x:f>(T14*Inputs!$H$5+U14*Inputs!$H$6+V14*Inputs!$H$7+W14*Inputs!$H$8+X14*Inputs!$H$9)/Inputs!$H$10*100</x:f>
        <x:v>73.00000000000001</x:v>
      </x:c>
      <x:c r="Z14" s="25" t="str">
        <x:v>E2</x:v>
      </x:c>
      <x:c r="AA14" s="25" t="str">
        <x:v>https://www.pandadoc.com/pricing/ | https://www.upwork.com/freelance-jobs/automation/</x:v>
      </x:c>
    </x:row>
    <x:row r="15" ht="90" customHeight="1">
      <x:c r="A15" s="25" t="str">
        <x:v>O10</x:v>
      </x:c>
      <x:c r="B15" s="25" t="n">
        <x:v>11</x:v>
      </x:c>
      <x:c r="C15" s="25" t="str">
        <x:v>Batch product-media optimization</x:v>
      </x:c>
      <x:c r="D15" s="25" t="str">
        <x:v>Service</x:v>
      </x:c>
      <x:c r="E15" s="25" t="str">
        <x:v>Resize, compress, rename and package merchant-owned product images with an audit manifest</x:v>
      </x:c>
      <x:c r="F15" s="25" t="str">
        <x:v>Small catalogs and marketplace sellers</x:v>
      </x:c>
      <x:c r="G15" s="33" t="n">
        <x:v>0</x:v>
      </x:c>
      <x:c r="H15" s="33" t="n">
        <x:v>100</x:v>
      </x:c>
      <x:c r="I15" s="25" t="str">
        <x:v>1–3 days</x:v>
      </x:c>
      <x:c r="J15" s="25" t="str">
        <x:v>2–14 days</x:v>
      </x:c>
      <x:c r="K15" s="25" t="str">
        <x:v>14–60 days</x:v>
      </x:c>
      <x:c r="L15" s="25" t="str">
        <x:v>60–180 days</x:v>
      </x:c>
      <x:c r="M15" s="31" t="n">
        <x:v>0.85</x:v>
      </x:c>
      <x:c r="N15" s="25" t="n">
        <x:v>3</x:v>
      </x:c>
      <x:c r="O15" s="25" t="n">
        <x:v>4</x:v>
      </x:c>
      <x:c r="P15" s="25" t="str">
        <x:v>Very high</x:v>
      </x:c>
      <x:c r="Q15" s="25" t="str">
        <x:v>Commodity pricing; unauthorized image ownership; visual errors</x:v>
      </x:c>
      <x:c r="R15" s="25" t="str">
        <x:v>Ecommerce agency add-on; explicit batch-processing requests</x:v>
      </x:c>
      <x:c r="S15" s="25" t="str">
        <x:v>Reject image-rights uncertainty; demonstrate measured file-size improvements</x:v>
      </x:c>
      <x:c r="T15" s="35" t="n">
        <x:v>5</x:v>
      </x:c>
      <x:c r="U15" s="35" t="n">
        <x:v>2</x:v>
      </x:c>
      <x:c r="V15" s="35" t="n">
        <x:v>4</x:v>
      </x:c>
      <x:c r="W15" s="35" t="n">
        <x:v>3</x:v>
      </x:c>
      <x:c r="X15" s="35" t="n">
        <x:v>3</x:v>
      </x:c>
      <x:c r="Y15" s="25" t="n">
        <x:f>(T15*Inputs!$H$5+U15*Inputs!$H$6+V15*Inputs!$H$7+W15*Inputs!$H$8+X15*Inputs!$H$9)/Inputs!$H$10*100</x:f>
        <x:v>72.99999999999999</x:v>
      </x:c>
      <x:c r="Z15" s="25" t="str">
        <x:v>E1</x:v>
      </x:c>
      <x:c r="AA15" s="25" t="str">
        <x:v>https://www.upwork.com/research/in-demand-skills-2026 | https://cloudconvert.com/pricing</x:v>
      </x:c>
    </x:row>
    <x:row r="16" ht="90" customHeight="1">
      <x:c r="A16" s="25" t="str">
        <x:v>O14</x:v>
      </x:c>
      <x:c r="B16" s="25" t="n">
        <x:v>12</x:v>
      </x:c>
      <x:c r="C16" s="25" t="str">
        <x:v>Game-engine productivity add-on</x:v>
      </x:c>
      <x:c r="D16" s="25" t="str">
        <x:v>Digital product</x:v>
      </x:c>
      <x:c r="E16" s="25" t="str">
        <x:v>Original Godot batch naming/import validator or scene QA tool with tested supported versions</x:v>
      </x:c>
      <x:c r="F16" s="25" t="str">
        <x:v>Indie developers with one repeated editor bottleneck</x:v>
      </x:c>
      <x:c r="G16" s="33" t="n">
        <x:v>0</x:v>
      </x:c>
      <x:c r="H16" s="33" t="n">
        <x:v>150</x:v>
      </x:c>
      <x:c r="I16" s="25" t="str">
        <x:v>4–10 days</x:v>
      </x:c>
      <x:c r="J16" s="25" t="str">
        <x:v>7–30 days</x:v>
      </x:c>
      <x:c r="K16" s="25" t="str">
        <x:v>30–120 days</x:v>
      </x:c>
      <x:c r="L16" s="25" t="str">
        <x:v>90–270 days</x:v>
      </x:c>
      <x:c r="M16" s="31" t="n">
        <x:v>0.9</x:v>
      </x:c>
      <x:c r="N16" s="25" t="n">
        <x:v>2</x:v>
      </x:c>
      <x:c r="O16" s="25" t="n">
        <x:v>4</x:v>
      </x:c>
      <x:c r="P16" s="25" t="str">
        <x:v>High</x:v>
      </x:c>
      <x:c r="Q16" s="25" t="str">
        <x:v>Free add-ons; compatibility breaks; skill fit must be verified</x:v>
      </x:c>
      <x:c r="R16" s="25" t="str">
        <x:v>Publish a reproducible before/after workflow in allowed developer communities</x:v>
      </x:c>
      <x:c r="S16" s="25" t="str">
        <x:v>Five paying users for one workflow before supporting more engine versions</x:v>
      </x:c>
      <x:c r="T16" s="35" t="n">
        <x:v>4</x:v>
      </x:c>
      <x:c r="U16" s="35" t="n">
        <x:v>3</x:v>
      </x:c>
      <x:c r="V16" s="35" t="n">
        <x:v>4</x:v>
      </x:c>
      <x:c r="W16" s="35" t="n">
        <x:v>3</x:v>
      </x:c>
      <x:c r="X16" s="35" t="n">
        <x:v>4</x:v>
      </x:c>
      <x:c r="Y16" s="25" t="n">
        <x:f>(T16*Inputs!$H$5+U16*Inputs!$H$6+V16*Inputs!$H$7+W16*Inputs!$H$8+X16*Inputs!$H$9)/Inputs!$H$10*100</x:f>
        <x:v>73</x:v>
      </x:c>
      <x:c r="Z16" s="25" t="str">
        <x:v>E3</x:v>
      </x:c>
      <x:c r="AA16" s="25" t="str">
        <x:v>https://itch.io/game-assets/tag-godot | https://itch.io/docs/creators/payments</x:v>
      </x:c>
    </x:row>
    <x:row r="17" ht="90" customHeight="1">
      <x:c r="A17" s="25" t="str">
        <x:v>O15</x:v>
      </x:c>
      <x:c r="B17" s="25" t="n">
        <x:v>13</x:v>
      </x:c>
      <x:c r="C17" s="25" t="str">
        <x:v>Catalog QA subscription</x:v>
      </x:c>
      <x:c r="D17" s="25" t="str">
        <x:v>Subscription</x:v>
      </x:c>
      <x:c r="E17" s="25" t="str">
        <x:v>Read-only SKU, broken image, missing-field and duplicate checks; human-reviewed change suggestions</x:v>
      </x:c>
      <x:c r="F17" s="25" t="str">
        <x:v>Merchants with frequent product catalog changes</x:v>
      </x:c>
      <x:c r="G17" s="33" t="n">
        <x:v>50</x:v>
      </x:c>
      <x:c r="H17" s="33" t="n">
        <x:v>250</x:v>
      </x:c>
      <x:c r="I17" s="25" t="str">
        <x:v>7–14 days</x:v>
      </x:c>
      <x:c r="J17" s="25" t="str">
        <x:v>10–30 days</x:v>
      </x:c>
      <x:c r="K17" s="25" t="str">
        <x:v>30–90 days</x:v>
      </x:c>
      <x:c r="L17" s="25" t="str">
        <x:v>90–240 days</x:v>
      </x:c>
      <x:c r="M17" s="31" t="n">
        <x:v>0.9</x:v>
      </x:c>
      <x:c r="N17" s="25" t="n">
        <x:v>2</x:v>
      </x:c>
      <x:c r="O17" s="25" t="n">
        <x:v>5</x:v>
      </x:c>
      <x:c r="P17" s="25" t="str">
        <x:v>High</x:v>
      </x:c>
      <x:c r="Q17" s="25" t="str">
        <x:v>Existing import apps; OAuth/app review; merchant churn</x:v>
      </x:c>
      <x:c r="R17" s="25" t="str">
        <x:v>Convert satisfied catalog-cleanup clients; private beta before public listing</x:v>
      </x:c>
      <x:c r="S17" s="25" t="str">
        <x:v>Five retained merchants and permission-compliant read-only implementation</x:v>
      </x:c>
      <x:c r="T17" s="35" t="n">
        <x:v>3</x:v>
      </x:c>
      <x:c r="U17" s="35" t="n">
        <x:v>4</x:v>
      </x:c>
      <x:c r="V17" s="35" t="n">
        <x:v>4</x:v>
      </x:c>
      <x:c r="W17" s="35" t="n">
        <x:v>4</x:v>
      </x:c>
      <x:c r="X17" s="35" t="n">
        <x:v>4</x:v>
      </x:c>
      <x:c r="Y17" s="25" t="n">
        <x:f>(T17*Inputs!$H$5+U17*Inputs!$H$6+V17*Inputs!$H$7+W17*Inputs!$H$8+X17*Inputs!$H$9)/Inputs!$H$10*100</x:f>
        <x:v>72.99999999999999</x:v>
      </x:c>
      <x:c r="Z17" s="25" t="str">
        <x:v>E2</x:v>
      </x:c>
      <x:c r="AA17" s="25" t="str">
        <x:v>https://apps.shopify.com/excel-export-import | https://shopify.dev/docs/apps/launch/distribution/revenue-share | https://www.shopify.com/news/billion-dollar-ecosystem</x:v>
      </x:c>
    </x:row>
    <x:row r="18" ht="90" customHeight="1">
      <x:c r="A18" s="25" t="str">
        <x:v>O53</x:v>
      </x:c>
      <x:c r="B18" s="25" t="n">
        <x:v>14</x:v>
      </x:c>
      <x:c r="C18" s="25" t="str">
        <x:v>Customer-onboarding workflow</x:v>
      </x:c>
      <x:c r="D18" s="25" t="str">
        <x:v>Service</x:v>
      </x:c>
      <x:c r="E18" s="25" t="str">
        <x:v>One intake-to-folder-to-task-list workflow with explicit permission and exception handling</x:v>
      </x:c>
      <x:c r="F18" s="25" t="str">
        <x:v>Small agencies starting multiple client projects</x:v>
      </x:c>
      <x:c r="G18" s="33" t="n">
        <x:v>0</x:v>
      </x:c>
      <x:c r="H18" s="33" t="n">
        <x:v>100</x:v>
      </x:c>
      <x:c r="I18" s="25" t="str">
        <x:v>2–5 days</x:v>
      </x:c>
      <x:c r="J18" s="25" t="str">
        <x:v>3–21 days</x:v>
      </x:c>
      <x:c r="K18" s="25" t="str">
        <x:v>21–60 days</x:v>
      </x:c>
      <x:c r="L18" s="25" t="str">
        <x:v>45–120 days</x:v>
      </x:c>
      <x:c r="M18" s="31" t="n">
        <x:v>0.8</x:v>
      </x:c>
      <x:c r="N18" s="25" t="n">
        <x:v>3</x:v>
      </x:c>
      <x:c r="O18" s="25" t="n">
        <x:v>4</x:v>
      </x:c>
      <x:c r="P18" s="25" t="str">
        <x:v>High</x:v>
      </x:c>
      <x:c r="Q18" s="25" t="str">
        <x:v>Scope creep; permissions; existing automation templates</x:v>
      </x:c>
      <x:c r="R18" s="25" t="str">
        <x:v>Identify a repeated onboarding bottleneck through agency referrals</x:v>
      </x:c>
      <x:c r="S18" s="25" t="str">
        <x:v>One system of record, one approved mapping, three measured paid deliveries</x:v>
      </x:c>
      <x:c r="T18" s="35" t="n">
        <x:v>4</x:v>
      </x:c>
      <x:c r="U18" s="35" t="n">
        <x:v>3</x:v>
      </x:c>
      <x:c r="V18" s="35" t="n">
        <x:v>4</x:v>
      </x:c>
      <x:c r="W18" s="35" t="n">
        <x:v>3</x:v>
      </x:c>
      <x:c r="X18" s="35" t="n">
        <x:v>3</x:v>
      </x:c>
      <x:c r="Y18" s="25" t="n">
        <x:f>(T18*Inputs!$H$5+U18*Inputs!$H$6+V18*Inputs!$H$7+W18*Inputs!$H$8+X18*Inputs!$H$9)/Inputs!$H$10*100</x:f>
        <x:v>71</x:v>
      </x:c>
      <x:c r="Z18" s="25" t="str">
        <x:v>E3</x:v>
      </x:c>
      <x:c r="AA18" s="25" t="str">
        <x:v>https://www.make.com/pricing | https://n8n.io/pricing/ | https://www.upwork.com/freelance-jobs/automation/</x:v>
      </x:c>
    </x:row>
    <x:row r="19" ht="90" customHeight="1">
      <x:c r="A19" s="25" t="str">
        <x:v>O12</x:v>
      </x:c>
      <x:c r="B19" s="25" t="n">
        <x:v>15</x:v>
      </x:c>
      <x:c r="C19" s="25" t="str">
        <x:v>Email-authentication setup</x:v>
      </x:c>
      <x:c r="D19" s="25" t="str">
        <x:v>Service</x:v>
      </x:c>
      <x:c r="E19" s="25" t="str">
        <x:v>Document and configure SPF/DKIM/DMARC for one domain with cautious staged enforcement</x:v>
      </x:c>
      <x:c r="F19" s="25" t="str">
        <x:v>Small organizations with legitimate delivery problems</x:v>
      </x:c>
      <x:c r="G19" s="33" t="n">
        <x:v>0</x:v>
      </x:c>
      <x:c r="H19" s="33" t="n">
        <x:v>100</x:v>
      </x:c>
      <x:c r="I19" s="25" t="str">
        <x:v>2–5 days</x:v>
      </x:c>
      <x:c r="J19" s="25" t="str">
        <x:v>3–21 days</x:v>
      </x:c>
      <x:c r="K19" s="25" t="str">
        <x:v>30–90 days</x:v>
      </x:c>
      <x:c r="L19" s="25" t="str">
        <x:v>60–180 days</x:v>
      </x:c>
      <x:c r="M19" s="31" t="n">
        <x:v>0.7</x:v>
      </x:c>
      <x:c r="N19" s="25" t="n">
        <x:v>3</x:v>
      </x:c>
      <x:c r="O19" s="25" t="n">
        <x:v>4</x:v>
      </x:c>
      <x:c r="P19" s="25" t="str">
        <x:v>High</x:v>
      </x:c>
      <x:c r="Q19" s="25" t="str">
        <x:v>Incorrect DNS blocks real mail; specialist knowledge needed</x:v>
      </x:c>
      <x:c r="R19" s="25" t="str">
        <x:v>MSP/agency referrals; explicit authentication work requests</x:v>
      </x:c>
      <x:c r="S19" s="25" t="str">
        <x:v>Only offer after demonstrating competence; never promise inbox placement</x:v>
      </x:c>
      <x:c r="T19" s="35" t="n">
        <x:v>4</x:v>
      </x:c>
      <x:c r="U19" s="35" t="n">
        <x:v>3</x:v>
      </x:c>
      <x:c r="V19" s="35" t="n">
        <x:v>3</x:v>
      </x:c>
      <x:c r="W19" s="35" t="n">
        <x:v>4</x:v>
      </x:c>
      <x:c r="X19" s="35" t="n">
        <x:v>3</x:v>
      </x:c>
      <x:c r="Y19" s="25" t="n">
        <x:f>(T19*Inputs!$H$5+U19*Inputs!$H$6+V19*Inputs!$H$7+W19*Inputs!$H$8+X19*Inputs!$H$9)/Inputs!$H$10*100</x:f>
        <x:v>69</x:v>
      </x:c>
      <x:c r="Z19" s="25" t="str">
        <x:v>E2</x:v>
      </x:c>
      <x:c r="AA19" s="25" t="str">
        <x:v>https://dmarcian.com/pricing/</x:v>
      </x:c>
    </x:row>
    <x:row r="20" ht="90" customHeight="1">
      <x:c r="A20" s="25" t="str">
        <x:v>O13</x:v>
      </x:c>
      <x:c r="B20" s="25" t="n">
        <x:v>16</x:v>
      </x:c>
      <x:c r="C20" s="25" t="str">
        <x:v>WordPress backup/update care</x:v>
      </x:c>
      <x:c r="D20" s="25" t="str">
        <x:v>Service</x:v>
      </x:c>
      <x:c r="E20" s="25" t="str">
        <x:v>Restore-tested backups, staging updates and scheduled reports; strict business-hours support</x:v>
      </x:c>
      <x:c r="F20" s="25" t="str">
        <x:v>Small brochure-site owners and agencies</x:v>
      </x:c>
      <x:c r="G20" s="33" t="n">
        <x:v>50</x:v>
      </x:c>
      <x:c r="H20" s="33" t="n">
        <x:v>200</x:v>
      </x:c>
      <x:c r="I20" s="25" t="str">
        <x:v>3–7 days</x:v>
      </x:c>
      <x:c r="J20" s="25" t="str">
        <x:v>3–21 days</x:v>
      </x:c>
      <x:c r="K20" s="25" t="str">
        <x:v>30–60 days</x:v>
      </x:c>
      <x:c r="L20" s="25" t="str">
        <x:v>60–180 days</x:v>
      </x:c>
      <x:c r="M20" s="31" t="n">
        <x:v>0.75</x:v>
      </x:c>
      <x:c r="N20" s="25" t="n">
        <x:v>4</x:v>
      </x:c>
      <x:c r="O20" s="25" t="n">
        <x:v>4</x:v>
      </x:c>
      <x:c r="P20" s="25" t="str">
        <x:v>Very high</x:v>
      </x:c>
      <x:c r="Q20" s="25" t="str">
        <x:v>Security responsibility; plugin conflicts; emergencies destroy passivity</x:v>
      </x:c>
      <x:c r="R20" s="25" t="str">
        <x:v>Partner with designers who do not want maintenance</x:v>
      </x:c>
      <x:c r="S20" s="25" t="str">
        <x:v>Restores tested; clear exclusions; decline unsupported inherited sites</x:v>
      </x:c>
      <x:c r="T20" s="35" t="n">
        <x:v>4</x:v>
      </x:c>
      <x:c r="U20" s="35" t="n">
        <x:v>3</x:v>
      </x:c>
      <x:c r="V20" s="35" t="n">
        <x:v>3</x:v>
      </x:c>
      <x:c r="W20" s="35" t="n">
        <x:v>4</x:v>
      </x:c>
      <x:c r="X20" s="35" t="n">
        <x:v>3</x:v>
      </x:c>
      <x:c r="Y20" s="25" t="n">
        <x:f>(T20*Inputs!$H$5+U20*Inputs!$H$6+V20*Inputs!$H$7+W20*Inputs!$H$8+X20*Inputs!$H$9)/Inputs!$H$10*100</x:f>
        <x:v>69</x:v>
      </x:c>
      <x:c r="Z20" s="25" t="str">
        <x:v>E2</x:v>
      </x:c>
      <x:c r="AA20" s="25" t="str">
        <x:v>https://wpbuffs.com/plans/</x:v>
      </x:c>
    </x:row>
    <x:row r="21" ht="90" customHeight="1">
      <x:c r="A21" s="25" t="str">
        <x:v>O24</x:v>
      </x:c>
      <x:c r="B21" s="25" t="n">
        <x:v>17</x:v>
      </x:c>
      <x:c r="C21" s="25" t="str">
        <x:v>Blender batch-export add-on</x:v>
      </x:c>
      <x:c r="D21" s="25" t="str">
        <x:v>Software</x:v>
      </x:c>
      <x:c r="E21" s="25" t="str">
        <x:v>Original export naming, scale validation and engine-specific presets</x:v>
      </x:c>
      <x:c r="F21" s="25" t="str">
        <x:v>3D artists repeatedly delivering game assets</x:v>
      </x:c>
      <x:c r="G21" s="33" t="n">
        <x:v>0</x:v>
      </x:c>
      <x:c r="H21" s="33" t="n">
        <x:v>150</x:v>
      </x:c>
      <x:c r="I21" s="25" t="str">
        <x:v>5–14 days</x:v>
      </x:c>
      <x:c r="J21" s="25" t="str">
        <x:v>7–30 days</x:v>
      </x:c>
      <x:c r="K21" s="25" t="str">
        <x:v>30–120 days</x:v>
      </x:c>
      <x:c r="L21" s="25" t="str">
        <x:v>90–270 days</x:v>
      </x:c>
      <x:c r="M21" s="31" t="n">
        <x:v>0.9</x:v>
      </x:c>
      <x:c r="N21" s="25" t="n">
        <x:v>2</x:v>
      </x:c>
      <x:c r="O21" s="25" t="n">
        <x:v>4</x:v>
      </x:c>
      <x:c r="P21" s="25" t="str">
        <x:v>High</x:v>
      </x:c>
      <x:c r="Q21" s="25" t="str">
        <x:v>Free add-ons; version maintenance; artists need polished UX</x:v>
      </x:c>
      <x:c r="R21" s="25" t="str">
        <x:v>Demonstrate a repeated production workflow on Superhive/allowed communities</x:v>
      </x:c>
      <x:c r="S21" s="25" t="str">
        <x:v>Five paid users on one supported Blender version</x:v>
      </x:c>
      <x:c r="T21" s="35" t="n">
        <x:v>4</x:v>
      </x:c>
      <x:c r="U21" s="35" t="n">
        <x:v>3</x:v>
      </x:c>
      <x:c r="V21" s="35" t="n">
        <x:v>3</x:v>
      </x:c>
      <x:c r="W21" s="35" t="n">
        <x:v>3</x:v>
      </x:c>
      <x:c r="X21" s="35" t="n">
        <x:v>4</x:v>
      </x:c>
      <x:c r="Y21" s="25" t="n">
        <x:f>(T21*Inputs!$H$5+U21*Inputs!$H$6+V21*Inputs!$H$7+W21*Inputs!$H$8+X21*Inputs!$H$9)/Inputs!$H$10*100</x:f>
        <x:v>69</x:v>
      </x:c>
      <x:c r="Z21" s="25" t="str">
        <x:v>E3</x:v>
      </x:c>
      <x:c r="AA21" s="25" t="str">
        <x:v>https://superhivemarket.com/</x:v>
      </x:c>
    </x:row>
    <x:row r="22" ht="90" customHeight="1">
      <x:c r="A22" s="25" t="str">
        <x:v>O27</x:v>
      </x:c>
      <x:c r="B22" s="25" t="n">
        <x:v>18</x:v>
      </x:c>
      <x:c r="C22" s="25" t="str">
        <x:v>Original procedural shader/texture kit</x:v>
      </x:c>
      <x:c r="D22" s="25" t="str">
        <x:v>Digital product</x:v>
      </x:c>
      <x:c r="E22" s="25" t="str">
        <x:v>Small tested materials pack with visible artistic variation, presets and performance notes</x:v>
      </x:c>
      <x:c r="F22" s="25" t="str">
        <x:v>Developers using a specific renderer</x:v>
      </x:c>
      <x:c r="G22" s="33" t="n">
        <x:v>0</x:v>
      </x:c>
      <x:c r="H22" s="33" t="n">
        <x:v>150</x:v>
      </x:c>
      <x:c r="I22" s="25" t="str">
        <x:v>4–10 days</x:v>
      </x:c>
      <x:c r="J22" s="25" t="str">
        <x:v>7–30 days</x:v>
      </x:c>
      <x:c r="K22" s="25" t="str">
        <x:v>30–120 days</x:v>
      </x:c>
      <x:c r="L22" s="25" t="str">
        <x:v>90–270 days</x:v>
      </x:c>
      <x:c r="M22" s="31" t="n">
        <x:v>0.9</x:v>
      </x:c>
      <x:c r="N22" s="25" t="n">
        <x:v>2</x:v>
      </x:c>
      <x:c r="O22" s="25" t="n">
        <x:v>4</x:v>
      </x:c>
      <x:c r="P22" s="25" t="str">
        <x:v>High</x:v>
      </x:c>
      <x:c r="Q22" s="25" t="str">
        <x:v>Free shaders; renderer compatibility; attractive demo is necessary</x:v>
      </x:c>
      <x:c r="R22" s="25" t="str">
        <x:v>Paid/free marketplace comparison and one concrete real-engine demonstration</x:v>
      </x:c>
      <x:c r="S22" s="25" t="str">
        <x:v>Three paying buyers with the same renderer; no generic noise spam</x:v>
      </x:c>
      <x:c r="T22" s="35" t="n">
        <x:v>4</x:v>
      </x:c>
      <x:c r="U22" s="35" t="n">
        <x:v>3</x:v>
      </x:c>
      <x:c r="V22" s="35" t="n">
        <x:v>3</x:v>
      </x:c>
      <x:c r="W22" s="35" t="n">
        <x:v>3</x:v>
      </x:c>
      <x:c r="X22" s="35" t="n">
        <x:v>4</x:v>
      </x:c>
      <x:c r="Y22" s="25" t="n">
        <x:f>(T22*Inputs!$H$5+U22*Inputs!$H$6+V22*Inputs!$H$7+W22*Inputs!$H$8+X22*Inputs!$H$9)/Inputs!$H$10*100</x:f>
        <x:v>69</x:v>
      </x:c>
      <x:c r="Z22" s="25" t="str">
        <x:v>E3</x:v>
      </x:c>
      <x:c r="AA22" s="25" t="str">
        <x:v>https://itch.io/game-assets/tag-shaders | https://itch.io/game-assets/tag-godot</x:v>
      </x:c>
    </x:row>
    <x:row r="23" ht="90" customHeight="1">
      <x:c r="A23" s="25" t="str">
        <x:v>O49</x:v>
      </x:c>
      <x:c r="B23" s="25" t="n">
        <x:v>19</x:v>
      </x:c>
      <x:c r="C23" s="25" t="str">
        <x:v>First-party cohort analytics</x:v>
      </x:c>
      <x:c r="D23" s="25" t="str">
        <x:v>Subscription</x:v>
      </x:c>
      <x:c r="E23" s="25" t="str">
        <x:v>Customer-authorized export analysis of repeat purchase and retention, with definitions</x:v>
      </x:c>
      <x:c r="F23" s="25" t="str">
        <x:v>Small ecommerce brands</x:v>
      </x:c>
      <x:c r="G23" s="33" t="n">
        <x:v>25</x:v>
      </x:c>
      <x:c r="H23" s="33" t="n">
        <x:v>200</x:v>
      </x:c>
      <x:c r="I23" s="25" t="str">
        <x:v>5–14 days</x:v>
      </x:c>
      <x:c r="J23" s="25" t="str">
        <x:v>7–30 days</x:v>
      </x:c>
      <x:c r="K23" s="25" t="str">
        <x:v>30–90 days</x:v>
      </x:c>
      <x:c r="L23" s="25" t="str">
        <x:v>90–240 days</x:v>
      </x:c>
      <x:c r="M23" s="31" t="n">
        <x:v>0.85</x:v>
      </x:c>
      <x:c r="N23" s="25" t="n">
        <x:v>3</x:v>
      </x:c>
      <x:c r="O23" s="25" t="n">
        <x:v>5</x:v>
      </x:c>
      <x:c r="P23" s="25" t="str">
        <x:v>High</x:v>
      </x:c>
      <x:c r="Q23" s="25" t="str">
        <x:v>Attribution ambiguity; customer personal data; existing analytics</x:v>
      </x:c>
      <x:c r="R23" s="25" t="str">
        <x:v>Upsell report clients with the same analytical question</x:v>
      </x:c>
      <x:c r="S23" s="25" t="str">
        <x:v>Two paid pilots reconcile exactly to source totals</x:v>
      </x:c>
      <x:c r="T23" s="35" t="n">
        <x:v>4</x:v>
      </x:c>
      <x:c r="U23" s="35" t="n">
        <x:v>3</x:v>
      </x:c>
      <x:c r="V23" s="35" t="n">
        <x:v>3</x:v>
      </x:c>
      <x:c r="W23" s="35" t="n">
        <x:v>3</x:v>
      </x:c>
      <x:c r="X23" s="35" t="n">
        <x:v>4</x:v>
      </x:c>
      <x:c r="Y23" s="25" t="n">
        <x:f>(T23*Inputs!$H$5+U23*Inputs!$H$6+V23*Inputs!$H$7+W23*Inputs!$H$8+X23*Inputs!$H$9)/Inputs!$H$10*100</x:f>
        <x:v>69</x:v>
      </x:c>
      <x:c r="Z23" s="25" t="str">
        <x:v>E2</x:v>
      </x:c>
      <x:c r="AA23" s="25" t="str">
        <x:v>https://agencyanalytics.com/pricing | https://www.upwork.com/research/in-demand-skills-2026</x:v>
      </x:c>
    </x:row>
    <x:row r="24" ht="90" customHeight="1">
      <x:c r="A24" s="25" t="str">
        <x:v>O50</x:v>
      </x:c>
      <x:c r="B24" s="25" t="n">
        <x:v>20</x:v>
      </x:c>
      <x:c r="C24" s="25" t="str">
        <x:v>Approved-document support assistant</x:v>
      </x:c>
      <x:c r="D24" s="25" t="str">
        <x:v>Subscription</x:v>
      </x:c>
      <x:c r="E24" s="25" t="str">
        <x:v>Answer only from reviewed business documentation; cite sources and escalate uncertainty</x:v>
      </x:c>
      <x:c r="F24" s="25" t="str">
        <x:v>Small software businesses with repeated support questions</x:v>
      </x:c>
      <x:c r="G24" s="33" t="n">
        <x:v>50</x:v>
      </x:c>
      <x:c r="H24" s="33" t="n">
        <x:v>250</x:v>
      </x:c>
      <x:c r="I24" s="25" t="str">
        <x:v>5–14 days</x:v>
      </x:c>
      <x:c r="J24" s="25" t="str">
        <x:v>7–30 days</x:v>
      </x:c>
      <x:c r="K24" s="25" t="str">
        <x:v>30–90 days</x:v>
      </x:c>
      <x:c r="L24" s="25" t="str">
        <x:v>90–240 days</x:v>
      </x:c>
      <x:c r="M24" s="31" t="n">
        <x:v>0.75</x:v>
      </x:c>
      <x:c r="N24" s="25" t="n">
        <x:v>4</x:v>
      </x:c>
      <x:c r="O24" s="25" t="n">
        <x:v>6</x:v>
      </x:c>
      <x:c r="P24" s="25" t="str">
        <x:v>Very high</x:v>
      </x:c>
      <x:c r="Q24" s="25" t="str">
        <x:v>Hallucination; data leakage; existing support platforms</x:v>
      </x:c>
      <x:c r="R24" s="25" t="str">
        <x:v>Paid pilot using a test set of real anonymized questions</x:v>
      </x:c>
      <x:c r="S24" s="25" t="str">
        <x:v>Human-approved knowledge base; do not promise fully autonomous support</x:v>
      </x:c>
      <x:c r="T24" s="35" t="n">
        <x:v>4</x:v>
      </x:c>
      <x:c r="U24" s="35" t="n">
        <x:v>3</x:v>
      </x:c>
      <x:c r="V24" s="35" t="n">
        <x:v>3</x:v>
      </x:c>
      <x:c r="W24" s="35" t="n">
        <x:v>3</x:v>
      </x:c>
      <x:c r="X24" s="35" t="n">
        <x:v>4</x:v>
      </x:c>
      <x:c r="Y24" s="25" t="n">
        <x:f>(T24*Inputs!$H$5+U24*Inputs!$H$6+V24*Inputs!$H$7+W24*Inputs!$H$8+X24*Inputs!$H$9)/Inputs!$H$10*100</x:f>
        <x:v>69</x:v>
      </x:c>
      <x:c r="Z24" s="25" t="str">
        <x:v>E2</x:v>
      </x:c>
      <x:c r="AA24" s="25" t="str">
        <x:v>https://www.intercom.com/pricing | https://www.upwork.com/research/in-demand-skills-2026</x:v>
      </x:c>
    </x:row>
    <x:row r="25" ht="90" customHeight="1">
      <x:c r="A25" s="25" t="str">
        <x:v>O51</x:v>
      </x:c>
      <x:c r="B25" s="25" t="n">
        <x:v>21</x:v>
      </x:c>
      <x:c r="C25" s="25" t="str">
        <x:v>Support-ticket triage copilot</x:v>
      </x:c>
      <x:c r="D25" s="25" t="str">
        <x:v>Subscription</x:v>
      </x:c>
      <x:c r="E25" s="25" t="str">
        <x:v>Classify and draft responses internally; humans approve outbound replies</x:v>
      </x:c>
      <x:c r="F25" s="25" t="str">
        <x:v>Small support teams</x:v>
      </x:c>
      <x:c r="G25" s="33" t="n">
        <x:v>25</x:v>
      </x:c>
      <x:c r="H25" s="33" t="n">
        <x:v>200</x:v>
      </x:c>
      <x:c r="I25" s="25" t="str">
        <x:v>3–10 days</x:v>
      </x:c>
      <x:c r="J25" s="25" t="str">
        <x:v>7–30 days</x:v>
      </x:c>
      <x:c r="K25" s="25" t="str">
        <x:v>30–90 days</x:v>
      </x:c>
      <x:c r="L25" s="25" t="str">
        <x:v>90–240 days</x:v>
      </x:c>
      <x:c r="M25" s="31" t="n">
        <x:v>0.8</x:v>
      </x:c>
      <x:c r="N25" s="25" t="n">
        <x:v>3</x:v>
      </x:c>
      <x:c r="O25" s="25" t="n">
        <x:v>5</x:v>
      </x:c>
      <x:c r="P25" s="25" t="str">
        <x:v>High</x:v>
      </x:c>
      <x:c r="Q25" s="25" t="str">
        <x:v>Private ticket content; unreliable labels; crowded category</x:v>
      </x:c>
      <x:c r="R25" s="25" t="str">
        <x:v>Show reduction in handling time on consented historical samples</x:v>
      </x:c>
      <x:c r="S25" s="25" t="str">
        <x:v>Low false-critical rate and clear human routing; no autonomous refunds</x:v>
      </x:c>
      <x:c r="T25" s="35" t="n">
        <x:v>4</x:v>
      </x:c>
      <x:c r="U25" s="35" t="n">
        <x:v>3</x:v>
      </x:c>
      <x:c r="V25" s="35" t="n">
        <x:v>3</x:v>
      </x:c>
      <x:c r="W25" s="35" t="n">
        <x:v>3</x:v>
      </x:c>
      <x:c r="X25" s="35" t="n">
        <x:v>4</x:v>
      </x:c>
      <x:c r="Y25" s="25" t="n">
        <x:f>(T25*Inputs!$H$5+U25*Inputs!$H$6+V25*Inputs!$H$7+W25*Inputs!$H$8+X25*Inputs!$H$9)/Inputs!$H$10*100</x:f>
        <x:v>69</x:v>
      </x:c>
      <x:c r="Z25" s="25" t="str">
        <x:v>E2</x:v>
      </x:c>
      <x:c r="AA25" s="25" t="str">
        <x:v>https://www.intercom.com/pricing | https://www.upwork.com/research/in-demand-skills-2026</x:v>
      </x:c>
    </x:row>
    <x:row r="26" ht="90" customHeight="1">
      <x:c r="A26" s="25" t="str">
        <x:v>O25</x:v>
      </x:c>
      <x:c r="B26" s="25" t="n">
        <x:v>22</x:v>
      </x:c>
      <x:c r="C26" s="25" t="str">
        <x:v>Original modular environment kit</x:v>
      </x:c>
      <x:c r="D26" s="25" t="str">
        <x:v>Digital product</x:v>
      </x:c>
      <x:c r="E26" s="25" t="str">
        <x:v>A coherent original low-poly environment with collisions, LODs and import tests</x:v>
      </x:c>
      <x:c r="F26" s="25" t="str">
        <x:v>Indie game developers</x:v>
      </x:c>
      <x:c r="G26" s="33" t="n">
        <x:v>0</x:v>
      </x:c>
      <x:c r="H26" s="33" t="n">
        <x:v>200</x:v>
      </x:c>
      <x:c r="I26" s="25" t="str">
        <x:v>5–14 days</x:v>
      </x:c>
      <x:c r="J26" s="25" t="str">
        <x:v>7–30 days</x:v>
      </x:c>
      <x:c r="K26" s="25" t="str">
        <x:v>30–120 days</x:v>
      </x:c>
      <x:c r="L26" s="25" t="str">
        <x:v>120–365 days</x:v>
      </x:c>
      <x:c r="M26" s="31" t="n">
        <x:v>0.9</x:v>
      </x:c>
      <x:c r="N26" s="25" t="n">
        <x:v>2</x:v>
      </x:c>
      <x:c r="O26" s="25" t="n">
        <x:v>4</x:v>
      </x:c>
      <x:c r="P26" s="25" t="str">
        <x:v>High</x:v>
      </x:c>
      <x:c r="Q26" s="25" t="str">
        <x:v>Art quality and discovery; third-party IP; free asset competition</x:v>
      </x:c>
      <x:c r="R26" s="25" t="str">
        <x:v>Small distinctive set on Fab/itch; real engine demo, no borrowed franchise assets</x:v>
      </x:c>
      <x:c r="S26" s="25" t="str">
        <x:v>Five sales to unrelated buyers before multiplying themes</x:v>
      </x:c>
      <x:c r="T26" s="35" t="n">
        <x:v>4</x:v>
      </x:c>
      <x:c r="U26" s="35" t="n">
        <x:v>2</x:v>
      </x:c>
      <x:c r="V26" s="35" t="n">
        <x:v>4</x:v>
      </x:c>
      <x:c r="W26" s="35" t="n">
        <x:v>3</x:v>
      </x:c>
      <x:c r="X26" s="35" t="n">
        <x:v>4</x:v>
      </x:c>
      <x:c r="Y26" s="25" t="n">
        <x:f>(T26*Inputs!$H$5+U26*Inputs!$H$6+V26*Inputs!$H$7+W26*Inputs!$H$8+X26*Inputs!$H$9)/Inputs!$H$10*100</x:f>
        <x:v>68</x:v>
      </x:c>
      <x:c r="Z26" s="25" t="str">
        <x:v>E4</x:v>
      </x:c>
      <x:c r="AA26" s="25" t="str">
        <x:v>https://www.fab.com/o/become-a-publisher | https://itch.io/game-assets/tag-godot</x:v>
      </x:c>
    </x:row>
    <x:row r="27" ht="90" customHeight="1">
      <x:c r="A27" s="25" t="str">
        <x:v>O26</x:v>
      </x:c>
      <x:c r="B27" s="25" t="n">
        <x:v>23</x:v>
      </x:c>
      <x:c r="C27" s="25" t="str">
        <x:v>Original sound-effect library</x:v>
      </x:c>
      <x:c r="D27" s="25" t="str">
        <x:v>Licensing</x:v>
      </x:c>
      <x:c r="E27" s="25" t="str">
        <x:v>Recorded or properly licensed/generated consistent game SFX with clean looping and metadata</x:v>
      </x:c>
      <x:c r="F27" s="25" t="str">
        <x:v>Indie developers and video editors</x:v>
      </x:c>
      <x:c r="G27" s="33" t="n">
        <x:v>0</x:v>
      </x:c>
      <x:c r="H27" s="33" t="n">
        <x:v>250</x:v>
      </x:c>
      <x:c r="I27" s="25" t="str">
        <x:v>3–10 days</x:v>
      </x:c>
      <x:c r="J27" s="25" t="str">
        <x:v>7–30 days</x:v>
      </x:c>
      <x:c r="K27" s="25" t="str">
        <x:v>30–120 days</x:v>
      </x:c>
      <x:c r="L27" s="25" t="str">
        <x:v>120–365 days</x:v>
      </x:c>
      <x:c r="M27" s="31" t="n">
        <x:v>0.95</x:v>
      </x:c>
      <x:c r="N27" s="25" t="n">
        <x:v>2</x:v>
      </x:c>
      <x:c r="O27" s="25" t="n">
        <x:v>4</x:v>
      </x:c>
      <x:c r="P27" s="25" t="str">
        <x:v>Very high</x:v>
      </x:c>
      <x:c r="Q27" s="25" t="str">
        <x:v>Rights/provenance; repetitive AI output; quality control</x:v>
      </x:c>
      <x:c r="R27" s="25" t="str">
        <x:v>Auditionable niche pack and relevant marketplace search</x:v>
      </x:c>
      <x:c r="S27" s="25" t="str">
        <x:v>Five sales; no cloned voices or copyrighted recordings</x:v>
      </x:c>
      <x:c r="T27" s="35" t="n">
        <x:v>4</x:v>
      </x:c>
      <x:c r="U27" s="35" t="n">
        <x:v>2</x:v>
      </x:c>
      <x:c r="V27" s="35" t="n">
        <x:v>4</x:v>
      </x:c>
      <x:c r="W27" s="35" t="n">
        <x:v>3</x:v>
      </x:c>
      <x:c r="X27" s="35" t="n">
        <x:v>4</x:v>
      </x:c>
      <x:c r="Y27" s="25" t="n">
        <x:f>(T27*Inputs!$H$5+U27*Inputs!$H$6+V27*Inputs!$H$7+W27*Inputs!$H$8+X27*Inputs!$H$9)/Inputs!$H$10*100</x:f>
        <x:v>68</x:v>
      </x:c>
      <x:c r="Z27" s="25" t="str">
        <x:v>E4</x:v>
      </x:c>
      <x:c r="AA27" s="25" t="str">
        <x:v>https://www.fab.com/o/become-a-publisher | https://itch.io/docs/creators/payments</x:v>
      </x:c>
    </x:row>
    <x:row r="28" ht="90" customHeight="1">
      <x:c r="A28" s="25" t="str">
        <x:v>O28</x:v>
      </x:c>
      <x:c r="B28" s="25" t="n">
        <x:v>24</x:v>
      </x:c>
      <x:c r="C28" s="25" t="str">
        <x:v>Original game UI and icon system</x:v>
      </x:c>
      <x:c r="D28" s="25" t="str">
        <x:v>Digital product</x:v>
      </x:c>
      <x:c r="E28" s="25" t="str">
        <x:v>Consistent original interface kit with scalable files, states and controller variants</x:v>
      </x:c>
      <x:c r="F28" s="25" t="str">
        <x:v>Indie studios</x:v>
      </x:c>
      <x:c r="G28" s="33" t="n">
        <x:v>0</x:v>
      </x:c>
      <x:c r="H28" s="33" t="n">
        <x:v>100</x:v>
      </x:c>
      <x:c r="I28" s="25" t="str">
        <x:v>3–10 days</x:v>
      </x:c>
      <x:c r="J28" s="25" t="str">
        <x:v>7–30 days</x:v>
      </x:c>
      <x:c r="K28" s="25" t="str">
        <x:v>30–120 days</x:v>
      </x:c>
      <x:c r="L28" s="25" t="str">
        <x:v>120–365 days</x:v>
      </x:c>
      <x:c r="M28" s="31" t="n">
        <x:v>0.95</x:v>
      </x:c>
      <x:c r="N28" s="25" t="n">
        <x:v>1</x:v>
      </x:c>
      <x:c r="O28" s="25" t="n">
        <x:v>4</x:v>
      </x:c>
      <x:c r="P28" s="25" t="str">
        <x:v>Very high</x:v>
      </x:c>
      <x:c r="Q28" s="25" t="str">
        <x:v>Commoditized output; unclear licenses; inconsistent visuals</x:v>
      </x:c>
      <x:c r="R28" s="25" t="str">
        <x:v>A coherent game-specific demo and relevant asset marketplaces</x:v>
      </x:c>
      <x:c r="S28" s="25" t="str">
        <x:v>Five sales and fewer than 15 minutes support per sale</x:v>
      </x:c>
      <x:c r="T28" s="35" t="n">
        <x:v>4</x:v>
      </x:c>
      <x:c r="U28" s="35" t="n">
        <x:v>2</x:v>
      </x:c>
      <x:c r="V28" s="35" t="n">
        <x:v>4</x:v>
      </x:c>
      <x:c r="W28" s="35" t="n">
        <x:v>3</x:v>
      </x:c>
      <x:c r="X28" s="35" t="n">
        <x:v>4</x:v>
      </x:c>
      <x:c r="Y28" s="25" t="n">
        <x:f>(T28*Inputs!$H$5+U28*Inputs!$H$6+V28*Inputs!$H$7+W28*Inputs!$H$8+X28*Inputs!$H$9)/Inputs!$H$10*100</x:f>
        <x:v>68</x:v>
      </x:c>
      <x:c r="Z28" s="25" t="str">
        <x:v>E4</x:v>
      </x:c>
      <x:c r="AA28" s="25" t="str">
        <x:v>https://www.fab.com/o/become-a-publisher | https://itch.io/game-assets/tag-godot</x:v>
      </x:c>
    </x:row>
    <x:row r="29" ht="90" customHeight="1">
      <x:c r="A29" s="25" t="str">
        <x:v>O31</x:v>
      </x:c>
      <x:c r="B29" s="25" t="n">
        <x:v>25</x:v>
      </x:c>
      <x:c r="C29" s="25" t="str">
        <x:v>Inventory/reorder spreadsheet</x:v>
      </x:c>
      <x:c r="D29" s="25" t="str">
        <x:v>Digital product</x:v>
      </x:c>
      <x:c r="E29" s="25" t="str">
        <x:v>A tested stock-control workbook for a narrow non-regulated merchant workflow</x:v>
      </x:c>
      <x:c r="F29" s="25" t="str">
        <x:v>Small shops with simple stock requirements</x:v>
      </x:c>
      <x:c r="G29" s="33" t="n">
        <x:v>0</x:v>
      </x:c>
      <x:c r="H29" s="33" t="n">
        <x:v>100</x:v>
      </x:c>
      <x:c r="I29" s="25" t="str">
        <x:v>3–7 days</x:v>
      </x:c>
      <x:c r="J29" s="25" t="str">
        <x:v>5–30 days</x:v>
      </x:c>
      <x:c r="K29" s="25" t="str">
        <x:v>30–90 days</x:v>
      </x:c>
      <x:c r="L29" s="25" t="str">
        <x:v>90–270 days</x:v>
      </x:c>
      <x:c r="M29" s="31" t="n">
        <x:v>0.9</x:v>
      </x:c>
      <x:c r="N29" s="25" t="n">
        <x:v>2</x:v>
      </x:c>
      <x:c r="O29" s="25" t="n">
        <x:v>4</x:v>
      </x:c>
      <x:c r="P29" s="25" t="str">
        <x:v>High</x:v>
      </x:c>
      <x:c r="Q29" s="25" t="str">
        <x:v>Formula mistakes; Excel compatibility; free spreadsheets</x:v>
      </x:c>
      <x:c r="R29" s="25" t="str">
        <x:v>Downsell to operations clients; demonstration with realistic synthetic data</x:v>
      </x:c>
      <x:c r="S29" s="25" t="str">
        <x:v>Three paid users; every formula tested; no accounting certification claims</x:v>
      </x:c>
      <x:c r="T29" s="35" t="n">
        <x:v>4</x:v>
      </x:c>
      <x:c r="U29" s="35" t="n">
        <x:v>2</x:v>
      </x:c>
      <x:c r="V29" s="35" t="n">
        <x:v>4</x:v>
      </x:c>
      <x:c r="W29" s="35" t="n">
        <x:v>3</x:v>
      </x:c>
      <x:c r="X29" s="35" t="n">
        <x:v>4</x:v>
      </x:c>
      <x:c r="Y29" s="25" t="n">
        <x:f>(T29*Inputs!$H$5+U29*Inputs!$H$6+V29*Inputs!$H$7+W29*Inputs!$H$8+X29*Inputs!$H$9)/Inputs!$H$10*100</x:f>
        <x:v>68</x:v>
      </x:c>
      <x:c r="Z29" s="25" t="str">
        <x:v>E1</x:v>
      </x:c>
      <x:c r="AA29" s="25" t="str">
        <x:v>https://www.upwork.com/research/in-demand-skills-2026 | https://gumroad.com/pricing</x:v>
      </x:c>
    </x:row>
    <x:row r="30" ht="90" customHeight="1">
      <x:c r="A30" s="25" t="str">
        <x:v>O34</x:v>
      </x:c>
      <x:c r="B30" s="25" t="n">
        <x:v>26</x:v>
      </x:c>
      <x:c r="C30" s="25" t="str">
        <x:v>Branded PDF generation API</x:v>
      </x:c>
      <x:c r="D30" s="25" t="str">
        <x:v>API</x:v>
      </x:c>
      <x:c r="E30" s="25" t="str">
        <x:v>One narrow templated PDF use case with deterministic input schema</x:v>
      </x:c>
      <x:c r="F30" s="25" t="str">
        <x:v>Vertical SaaS or operations vendors</x:v>
      </x:c>
      <x:c r="G30" s="33" t="n">
        <x:v>25</x:v>
      </x:c>
      <x:c r="H30" s="33" t="n">
        <x:v>150</x:v>
      </x:c>
      <x:c r="I30" s="25" t="str">
        <x:v>5–14 days</x:v>
      </x:c>
      <x:c r="J30" s="25" t="str">
        <x:v>10–30 days</x:v>
      </x:c>
      <x:c r="K30" s="25" t="str">
        <x:v>30–90 days</x:v>
      </x:c>
      <x:c r="L30" s="25" t="str">
        <x:v>90–270 days</x:v>
      </x:c>
      <x:c r="M30" s="31" t="n">
        <x:v>0.9</x:v>
      </x:c>
      <x:c r="N30" s="25" t="n">
        <x:v>2</x:v>
      </x:c>
      <x:c r="O30" s="25" t="n">
        <x:v>5</x:v>
      </x:c>
      <x:c r="P30" s="25" t="str">
        <x:v>High</x:v>
      </x:c>
      <x:c r="Q30" s="25" t="str">
        <x:v>Layout fidelity; untrusted HTML; already cheap alternatives</x:v>
      </x:c>
      <x:c r="R30" s="25" t="str">
        <x:v>One vertical vendor needing the same document format</x:v>
      </x:c>
      <x:c r="S30" s="25" t="str">
        <x:v>Two paying integrations; no arbitrary HTML execution</x:v>
      </x:c>
      <x:c r="T30" s="35" t="n">
        <x:v>3</x:v>
      </x:c>
      <x:c r="U30" s="35" t="n">
        <x:v>3</x:v>
      </x:c>
      <x:c r="V30" s="35" t="n">
        <x:v>4</x:v>
      </x:c>
      <x:c r="W30" s="35" t="n">
        <x:v>3</x:v>
      </x:c>
      <x:c r="X30" s="35" t="n">
        <x:v>5</x:v>
      </x:c>
      <x:c r="Y30" s="25" t="n">
        <x:f>(T30*Inputs!$H$5+U30*Inputs!$H$6+V30*Inputs!$H$7+W30*Inputs!$H$8+X30*Inputs!$H$9)/Inputs!$H$10*100</x:f>
        <x:v>68</x:v>
      </x:c>
      <x:c r="Z30" s="25" t="str">
        <x:v>E2</x:v>
      </x:c>
      <x:c r="AA30" s="25" t="str">
        <x:v>https://www.bannerbear.com/pricing/ | https://cloudconvert.com/pricing</x:v>
      </x:c>
    </x:row>
    <x:row r="31" ht="90" customHeight="1">
      <x:c r="A31" s="25" t="str">
        <x:v>O37</x:v>
      </x:c>
      <x:c r="B31" s="25" t="n">
        <x:v>27</x:v>
      </x:c>
      <x:c r="C31" s="25" t="str">
        <x:v>Permission-based page-change alerts</x:v>
      </x:c>
      <x:c r="D31" s="25" t="str">
        <x:v>Subscription</x:v>
      </x:c>
      <x:c r="E31" s="25" t="str">
        <x:v>Monitor a customer's own pages or explicitly permitted sources for meaningful changes</x:v>
      </x:c>
      <x:c r="F31" s="25" t="str">
        <x:v>Agencies or businesses responsible for those pages</x:v>
      </x:c>
      <x:c r="G31" s="33" t="n">
        <x:v>25</x:v>
      </x:c>
      <x:c r="H31" s="33" t="n">
        <x:v>150</x:v>
      </x:c>
      <x:c r="I31" s="25" t="str">
        <x:v>3–7 days</x:v>
      </x:c>
      <x:c r="J31" s="25" t="str">
        <x:v>7–30 days</x:v>
      </x:c>
      <x:c r="K31" s="25" t="str">
        <x:v>30–90 days</x:v>
      </x:c>
      <x:c r="L31" s="25" t="str">
        <x:v>90–270 days</x:v>
      </x:c>
      <x:c r="M31" s="31" t="n">
        <x:v>0.9</x:v>
      </x:c>
      <x:c r="N31" s="25" t="n">
        <x:v>2</x:v>
      </x:c>
      <x:c r="O31" s="25" t="n">
        <x:v>5</x:v>
      </x:c>
      <x:c r="P31" s="25" t="str">
        <x:v>High</x:v>
      </x:c>
      <x:c r="Q31" s="25" t="str">
        <x:v>Unauthorized scraping; noisy alerts; established low-cost vendors</x:v>
      </x:c>
      <x:c r="R31" s="25" t="str">
        <x:v>Add-on for reporting clients; specialize change interpretation</x:v>
      </x:c>
      <x:c r="S31" s="25" t="str">
        <x:v>Written source permission/license; real actionable alerts from five users</x:v>
      </x:c>
      <x:c r="T31" s="35" t="n">
        <x:v>4</x:v>
      </x:c>
      <x:c r="U31" s="35" t="n">
        <x:v>2</x:v>
      </x:c>
      <x:c r="V31" s="35" t="n">
        <x:v>4</x:v>
      </x:c>
      <x:c r="W31" s="35" t="n">
        <x:v>3</x:v>
      </x:c>
      <x:c r="X31" s="35" t="n">
        <x:v>4</x:v>
      </x:c>
      <x:c r="Y31" s="25" t="n">
        <x:f>(T31*Inputs!$H$5+U31*Inputs!$H$6+V31*Inputs!$H$7+W31*Inputs!$H$8+X31*Inputs!$H$9)/Inputs!$H$10*100</x:f>
        <x:v>68</x:v>
      </x:c>
      <x:c r="Z31" s="25" t="str">
        <x:v>E2</x:v>
      </x:c>
      <x:c r="AA31" s="25" t="str">
        <x:v>https://visualping.io/pricing</x:v>
      </x:c>
    </x:row>
    <x:row r="32" ht="90" customHeight="1">
      <x:c r="A32" s="25" t="str">
        <x:v>O38</x:v>
      </x:c>
      <x:c r="B32" s="25" t="n">
        <x:v>28</x:v>
      </x:c>
      <x:c r="C32" s="25" t="str">
        <x:v>Broken-link/media QA monitor</x:v>
      </x:c>
      <x:c r="D32" s="25" t="str">
        <x:v>Subscription</x:v>
      </x:c>
      <x:c r="E32" s="25" t="str">
        <x:v>Crawl only authorized sites and summarize new broken internal links/media weekly</x:v>
      </x:c>
      <x:c r="F32" s="25" t="str">
        <x:v>Agencies with content-heavy sites</x:v>
      </x:c>
      <x:c r="G32" s="33" t="n">
        <x:v>20</x:v>
      </x:c>
      <x:c r="H32" s="33" t="n">
        <x:v>100</x:v>
      </x:c>
      <x:c r="I32" s="25" t="str">
        <x:v>3–7 days</x:v>
      </x:c>
      <x:c r="J32" s="25" t="str">
        <x:v>7–30 days</x:v>
      </x:c>
      <x:c r="K32" s="25" t="str">
        <x:v>30–90 days</x:v>
      </x:c>
      <x:c r="L32" s="25" t="str">
        <x:v>90–240 days</x:v>
      </x:c>
      <x:c r="M32" s="31" t="n">
        <x:v>0.9</x:v>
      </x:c>
      <x:c r="N32" s="25" t="n">
        <x:v>2</x:v>
      </x:c>
      <x:c r="O32" s="25" t="n">
        <x:v>5</x:v>
      </x:c>
      <x:c r="P32" s="25" t="str">
        <x:v>High</x:v>
      </x:c>
      <x:c r="Q32" s="25" t="str">
        <x:v>Free tools; crawl politeness; low perceived recurring value</x:v>
      </x:c>
      <x:c r="R32" s="25" t="str">
        <x:v>Agency bundle with per-client digest rather than broad SEO claims</x:v>
      </x:c>
      <x:c r="S32" s="25" t="str">
        <x:v>Three paying agencies; avoid duplicating existing client subscriptions</x:v>
      </x:c>
      <x:c r="T32" s="35" t="n">
        <x:v>4</x:v>
      </x:c>
      <x:c r="U32" s="35" t="n">
        <x:v>2</x:v>
      </x:c>
      <x:c r="V32" s="35" t="n">
        <x:v>4</x:v>
      </x:c>
      <x:c r="W32" s="35" t="n">
        <x:v>3</x:v>
      </x:c>
      <x:c r="X32" s="35" t="n">
        <x:v>4</x:v>
      </x:c>
      <x:c r="Y32" s="25" t="n">
        <x:f>(T32*Inputs!$H$5+U32*Inputs!$H$6+V32*Inputs!$H$7+W32*Inputs!$H$8+X32*Inputs!$H$9)/Inputs!$H$10*100</x:f>
        <x:v>68</x:v>
      </x:c>
      <x:c r="Z32" s="25" t="str">
        <x:v>E2</x:v>
      </x:c>
      <x:c r="AA32" s="25" t="str">
        <x:v>https://www.checklyhq.com/pricing/ | https://visualping.io/pricing</x:v>
      </x:c>
    </x:row>
    <x:row r="33" ht="90" customHeight="1">
      <x:c r="A33" s="25" t="str">
        <x:v>O16</x:v>
      </x:c>
      <x:c r="B33" s="25" t="n">
        <x:v>29</x:v>
      </x:c>
      <x:c r="C33" s="25" t="str">
        <x:v>Offline CSV mapping desktop tool</x:v>
      </x:c>
      <x:c r="D33" s="25" t="str">
        <x:v>Software</x:v>
      </x:c>
      <x:c r="E33" s="25" t="str">
        <x:v>Local-first reusable column maps, deduplication preview and validated exports</x:v>
      </x:c>
      <x:c r="F33" s="25" t="str">
        <x:v>Privacy-conscious small operations teams</x:v>
      </x:c>
      <x:c r="G33" s="33" t="n">
        <x:v>0</x:v>
      </x:c>
      <x:c r="H33" s="33" t="n">
        <x:v>200</x:v>
      </x:c>
      <x:c r="I33" s="25" t="str">
        <x:v>7–14 days</x:v>
      </x:c>
      <x:c r="J33" s="25" t="str">
        <x:v>7–30 days</x:v>
      </x:c>
      <x:c r="K33" s="25" t="str">
        <x:v>30–90 days</x:v>
      </x:c>
      <x:c r="L33" s="25" t="str">
        <x:v>90–240 days</x:v>
      </x:c>
      <x:c r="M33" s="31" t="n">
        <x:v>0.9</x:v>
      </x:c>
      <x:c r="N33" s="25" t="n">
        <x:v>2</x:v>
      </x:c>
      <x:c r="O33" s="25" t="n">
        <x:v>4</x:v>
      </x:c>
      <x:c r="P33" s="25" t="str">
        <x:v>High</x:v>
      </x:c>
      <x:c r="Q33" s="25" t="str">
        <x:v>Excel/free scripts; code signing; desktop support</x:v>
      </x:c>
      <x:c r="R33" s="25" t="str">
        <x:v>Upsell/downsell from CSV services; compare with an actual recurring manual task</x:v>
      </x:c>
      <x:c r="S33" s="25" t="str">
        <x:v>Five preorders or paid prototypes; narrow to three input formats</x:v>
      </x:c>
      <x:c r="T33" s="35" t="n">
        <x:v>3</x:v>
      </x:c>
      <x:c r="U33" s="35" t="n">
        <x:v>3</x:v>
      </x:c>
      <x:c r="V33" s="35" t="n">
        <x:v>4</x:v>
      </x:c>
      <x:c r="W33" s="35" t="n">
        <x:v>3</x:v>
      </x:c>
      <x:c r="X33" s="35" t="n">
        <x:v>4</x:v>
      </x:c>
      <x:c r="Y33" s="25" t="n">
        <x:f>(T33*Inputs!$H$5+U33*Inputs!$H$6+V33*Inputs!$H$7+W33*Inputs!$H$8+X33*Inputs!$H$9)/Inputs!$H$10*100</x:f>
        <x:v>65.99999999999999</x:v>
      </x:c>
      <x:c r="Z33" s="25" t="str">
        <x:v>E2</x:v>
      </x:c>
      <x:c r="AA33" s="25" t="str">
        <x:v>https://matrixify.app/pricing/ | https://cloudconvert.com/pricing</x:v>
      </x:c>
    </x:row>
    <x:row r="34" ht="90" customHeight="1">
      <x:c r="A34" s="25" t="str">
        <x:v>O18</x:v>
      </x:c>
      <x:c r="B34" s="25" t="n">
        <x:v>30</x:v>
      </x:c>
      <x:c r="C34" s="25" t="str">
        <x:v>Shopify restock-intent app</x:v>
      </x:c>
      <x:c r="D34" s="25" t="str">
        <x:v>Subscription</x:v>
      </x:c>
      <x:c r="E34" s="25" t="str">
        <x:v>Permission-based back-in-stock requests for a narrowly defined merchant vertical</x:v>
      </x:c>
      <x:c r="F34" s="25" t="str">
        <x:v>Small specialty stores</x:v>
      </x:c>
      <x:c r="G34" s="33" t="n">
        <x:v>100</x:v>
      </x:c>
      <x:c r="H34" s="33" t="n">
        <x:v>500</x:v>
      </x:c>
      <x:c r="I34" s="25" t="str">
        <x:v>14–30 days</x:v>
      </x:c>
      <x:c r="J34" s="25" t="str">
        <x:v>21–60 days</x:v>
      </x:c>
      <x:c r="K34" s="25" t="str">
        <x:v>60–150 days</x:v>
      </x:c>
      <x:c r="L34" s="25" t="str">
        <x:v>180–365 days</x:v>
      </x:c>
      <x:c r="M34" s="31" t="n">
        <x:v>0.9</x:v>
      </x:c>
      <x:c r="N34" s="25" t="n">
        <x:v>3</x:v>
      </x:c>
      <x:c r="O34" s="25" t="n">
        <x:v>6</x:v>
      </x:c>
      <x:c r="P34" s="25" t="str">
        <x:v>Very high</x:v>
      </x:c>
      <x:c r="Q34" s="25" t="str">
        <x:v>App approval; established competition; consent and deliverability</x:v>
      </x:c>
      <x:c r="R34" s="25" t="str">
        <x:v>Merchant interviews and agency distribution before coding</x:v>
      </x:c>
      <x:c r="S34" s="25" t="str">
        <x:v>Five merchants commit to the unique feature; otherwise do not build</x:v>
      </x:c>
      <x:c r="T34" s="35" t="n">
        <x:v>2</x:v>
      </x:c>
      <x:c r="U34" s="35" t="n">
        <x:v>4</x:v>
      </x:c>
      <x:c r="V34" s="35" t="n">
        <x:v>4</x:v>
      </x:c>
      <x:c r="W34" s="35" t="n">
        <x:v>3</x:v>
      </x:c>
      <x:c r="X34" s="35" t="n">
        <x:v>5</x:v>
      </x:c>
      <x:c r="Y34" s="25" t="n">
        <x:f>(T34*Inputs!$H$5+U34*Inputs!$H$6+V34*Inputs!$H$7+W34*Inputs!$H$8+X34*Inputs!$H$9)/Inputs!$H$10*100</x:f>
        <x:v>65.99999999999999</x:v>
      </x:c>
      <x:c r="Z34" s="25" t="str">
        <x:v>E4</x:v>
      </x:c>
      <x:c r="AA34" s="25" t="str">
        <x:v>https://shopify.dev/docs/apps/launch/distribution/revenue-share | https://www.shopify.com/news/billion-dollar-ecosystem | https://crtc.gc.ca/eng/com500/faq500.htm</x:v>
      </x:c>
    </x:row>
    <x:row r="35" ht="90" customHeight="1">
      <x:c r="A35" s="25" t="str">
        <x:v>O19</x:v>
      </x:c>
      <x:c r="B35" s="25" t="n">
        <x:v>31</x:v>
      </x:c>
      <x:c r="C35" s="25" t="str">
        <x:v>WooCommerce supplier-sync plugin</x:v>
      </x:c>
      <x:c r="D35" s="25" t="str">
        <x:v>Software</x:v>
      </x:c>
      <x:c r="E35" s="25" t="str">
        <x:v>One licensed supplier feed mapped to stock/price changes with rollback and dry-run</x:v>
      </x:c>
      <x:c r="F35" s="25" t="str">
        <x:v>Merchants sharing a particular supplier</x:v>
      </x:c>
      <x:c r="G35" s="33" t="n">
        <x:v>50</x:v>
      </x:c>
      <x:c r="H35" s="33" t="n">
        <x:v>300</x:v>
      </x:c>
      <x:c r="I35" s="25" t="str">
        <x:v>10–21 days</x:v>
      </x:c>
      <x:c r="J35" s="25" t="str">
        <x:v>14–45 days</x:v>
      </x:c>
      <x:c r="K35" s="25" t="str">
        <x:v>45–120 days</x:v>
      </x:c>
      <x:c r="L35" s="25" t="str">
        <x:v>90–270 days</x:v>
      </x:c>
      <x:c r="M35" s="31" t="n">
        <x:v>0.85</x:v>
      </x:c>
      <x:c r="N35" s="25" t="n">
        <x:v>3</x:v>
      </x:c>
      <x:c r="O35" s="25" t="n">
        <x:v>5</x:v>
      </x:c>
      <x:c r="P35" s="25" t="str">
        <x:v>High</x:v>
      </x:c>
      <x:c r="Q35" s="25" t="str">
        <x:v>Bad stock updates; platform updates; feed license</x:v>
      </x:c>
      <x:c r="R35" s="25" t="str">
        <x:v>Supplier referral agreement and merchants already requesting a connector</x:v>
      </x:c>
      <x:c r="S35" s="25" t="str">
        <x:v>Written supplier permission; three paid merchants; safe rollback</x:v>
      </x:c>
      <x:c r="T35" s="35" t="n">
        <x:v>3</x:v>
      </x:c>
      <x:c r="U35" s="35" t="n">
        <x:v>3</x:v>
      </x:c>
      <x:c r="V35" s="35" t="n">
        <x:v>4</x:v>
      </x:c>
      <x:c r="W35" s="35" t="n">
        <x:v>3</x:v>
      </x:c>
      <x:c r="X35" s="35" t="n">
        <x:v>4</x:v>
      </x:c>
      <x:c r="Y35" s="25" t="n">
        <x:f>(T35*Inputs!$H$5+U35*Inputs!$H$6+V35*Inputs!$H$7+W35*Inputs!$H$8+X35*Inputs!$H$9)/Inputs!$H$10*100</x:f>
        <x:v>65.99999999999999</x:v>
      </x:c>
      <x:c r="Z35" s="25" t="str">
        <x:v>E2</x:v>
      </x:c>
      <x:c r="AA35" s="25" t="str">
        <x:v>https://matrixify.app/pricing/ | https://wpbuffs.com/plans/</x:v>
      </x:c>
    </x:row>
    <x:row r="36" ht="90" customHeight="1">
      <x:c r="A36" s="25" t="str">
        <x:v>O20</x:v>
      </x:c>
      <x:c r="B36" s="25" t="n">
        <x:v>32</x:v>
      </x:c>
      <x:c r="C36" s="25" t="str">
        <x:v>WordPress form-test plugin</x:v>
      </x:c>
      <x:c r="D36" s="25" t="str">
        <x:v>Software</x:v>
      </x:c>
      <x:c r="E36" s="25" t="str">
        <x:v>Scheduled checks with a test-mode endpoint and a site-owner report</x:v>
      </x:c>
      <x:c r="F36" s="25" t="str">
        <x:v>WordPress agencies</x:v>
      </x:c>
      <x:c r="G36" s="33" t="n">
        <x:v>25</x:v>
      </x:c>
      <x:c r="H36" s="33" t="n">
        <x:v>200</x:v>
      </x:c>
      <x:c r="I36" s="25" t="str">
        <x:v>7–21 days</x:v>
      </x:c>
      <x:c r="J36" s="25" t="str">
        <x:v>14–45 days</x:v>
      </x:c>
      <x:c r="K36" s="25" t="str">
        <x:v>45–120 days</x:v>
      </x:c>
      <x:c r="L36" s="25" t="str">
        <x:v>90–270 days</x:v>
      </x:c>
      <x:c r="M36" s="31" t="n">
        <x:v>0.85</x:v>
      </x:c>
      <x:c r="N36" s="25" t="n">
        <x:v>2</x:v>
      </x:c>
      <x:c r="O36" s="25" t="n">
        <x:v>5</x:v>
      </x:c>
      <x:c r="P36" s="25" t="str">
        <x:v>High</x:v>
      </x:c>
      <x:c r="Q36" s="25" t="str">
        <x:v>Plugin conflicts; alert noise; overlapping monitoring service</x:v>
      </x:c>
      <x:c r="R36" s="25" t="str">
        <x:v>Productize monitoring-client common needs; not a parallel initial launch</x:v>
      </x:c>
      <x:c r="S36" s="25" t="str">
        <x:v>Only build after five monitoring clients share the identical need</x:v>
      </x:c>
      <x:c r="T36" s="35" t="n">
        <x:v>3</x:v>
      </x:c>
      <x:c r="U36" s="35" t="n">
        <x:v>3</x:v>
      </x:c>
      <x:c r="V36" s="35" t="n">
        <x:v>4</x:v>
      </x:c>
      <x:c r="W36" s="35" t="n">
        <x:v>3</x:v>
      </x:c>
      <x:c r="X36" s="35" t="n">
        <x:v>4</x:v>
      </x:c>
      <x:c r="Y36" s="25" t="n">
        <x:f>(T36*Inputs!$H$5+U36*Inputs!$H$6+V36*Inputs!$H$7+W36*Inputs!$H$8+X36*Inputs!$H$9)/Inputs!$H$10*100</x:f>
        <x:v>65.99999999999999</x:v>
      </x:c>
      <x:c r="Z36" s="25" t="str">
        <x:v>E2</x:v>
      </x:c>
      <x:c r="AA36" s="25" t="str">
        <x:v>https://www.checklyhq.com/pricing/ | https://wpbuffs.com/plans/</x:v>
      </x:c>
    </x:row>
    <x:row r="37" ht="90" customHeight="1">
      <x:c r="A37" s="25" t="str">
        <x:v>O23</x:v>
      </x:c>
      <x:c r="B37" s="25" t="n">
        <x:v>33</x:v>
      </x:c>
      <x:c r="C37" s="25" t="str">
        <x:v>CI/release engineering starter</x:v>
      </x:c>
      <x:c r="D37" s="25" t="str">
        <x:v>Digital product</x:v>
      </x:c>
      <x:c r="E37" s="25" t="str">
        <x:v>Original test, packaging, changelog and release workflows for one software stack</x:v>
      </x:c>
      <x:c r="F37" s="25" t="str">
        <x:v>Indie software teams shipping the same stack</x:v>
      </x:c>
      <x:c r="G37" s="33" t="n">
        <x:v>0</x:v>
      </x:c>
      <x:c r="H37" s="33" t="n">
        <x:v>100</x:v>
      </x:c>
      <x:c r="I37" s="25" t="str">
        <x:v>3–7 days</x:v>
      </x:c>
      <x:c r="J37" s="25" t="str">
        <x:v>5–21 days</x:v>
      </x:c>
      <x:c r="K37" s="25" t="str">
        <x:v>30–90 days</x:v>
      </x:c>
      <x:c r="L37" s="25" t="str">
        <x:v>90–240 days</x:v>
      </x:c>
      <x:c r="M37" s="31" t="n">
        <x:v>0.95</x:v>
      </x:c>
      <x:c r="N37" s="25" t="n">
        <x:v>2</x:v>
      </x:c>
      <x:c r="O37" s="25" t="n">
        <x:v>4</x:v>
      </x:c>
      <x:c r="P37" s="25" t="str">
        <x:v>High</x:v>
      </x:c>
      <x:c r="Q37" s="25" t="str">
        <x:v>Free examples; CI billing and secret exposure</x:v>
      </x:c>
      <x:c r="R37" s="25" t="str">
        <x:v>A useful reproducible demo and stack-specific community permission</x:v>
      </x:c>
      <x:c r="S37" s="25" t="str">
        <x:v>Three buyers; secret-safe defaults; no production credentials in examples</x:v>
      </x:c>
      <x:c r="T37" s="35" t="n">
        <x:v>4</x:v>
      </x:c>
      <x:c r="U37" s="35" t="n">
        <x:v>2</x:v>
      </x:c>
      <x:c r="V37" s="35" t="n">
        <x:v>4</x:v>
      </x:c>
      <x:c r="W37" s="35" t="n">
        <x:v>2</x:v>
      </x:c>
      <x:c r="X37" s="35" t="n">
        <x:v>4</x:v>
      </x:c>
      <x:c r="Y37" s="25" t="n">
        <x:f>(T37*Inputs!$H$5+U37*Inputs!$H$6+V37*Inputs!$H$7+W37*Inputs!$H$8+X37*Inputs!$H$9)/Inputs!$H$10*100</x:f>
        <x:v>66</x:v>
      </x:c>
      <x:c r="Z37" s="25" t="str">
        <x:v>E4</x:v>
      </x:c>
      <x:c r="AA37" s="25" t="str">
        <x:v>https://docs.github.com/en/actions/reference/workflows-and-actions/events-that-trigger-workflows | https://gumroad.com/pricing</x:v>
      </x:c>
    </x:row>
    <x:row r="38" ht="90" customHeight="1">
      <x:c r="A38" s="25" t="str">
        <x:v>O33</x:v>
      </x:c>
      <x:c r="B38" s="25" t="n">
        <x:v>34</x:v>
      </x:c>
      <x:c r="C38" s="25" t="str">
        <x:v>Website screenshot API</x:v>
      </x:c>
      <x:c r="D38" s="25" t="str">
        <x:v>API</x:v>
      </x:c>
      <x:c r="E38" s="25" t="str">
        <x:v>Authorized URL screenshots with narrow rendering presets and storage expiry</x:v>
      </x:c>
      <x:c r="F38" s="25" t="str">
        <x:v>Agencies needing repeatable previews</x:v>
      </x:c>
      <x:c r="G38" s="33" t="n">
        <x:v>50</x:v>
      </x:c>
      <x:c r="H38" s="33" t="n">
        <x:v>250</x:v>
      </x:c>
      <x:c r="I38" s="25" t="str">
        <x:v>7–21 days</x:v>
      </x:c>
      <x:c r="J38" s="25" t="str">
        <x:v>14–45 days</x:v>
      </x:c>
      <x:c r="K38" s="25" t="str">
        <x:v>45–120 days</x:v>
      </x:c>
      <x:c r="L38" s="25" t="str">
        <x:v>120–365 days</x:v>
      </x:c>
      <x:c r="M38" s="31" t="n">
        <x:v>0.9</x:v>
      </x:c>
      <x:c r="N38" s="25" t="n">
        <x:v>3</x:v>
      </x:c>
      <x:c r="O38" s="25" t="n">
        <x:v>5</x:v>
      </x:c>
      <x:c r="P38" s="25" t="str">
        <x:v>Very high</x:v>
      </x:c>
      <x:c r="Q38" s="25" t="str">
        <x:v>SSRF; abuse; browser compute expense; free alternatives</x:v>
      </x:c>
      <x:c r="R38" s="25" t="str">
        <x:v>Sell bulk preview integration to an agency before building a public API</x:v>
      </x:c>
      <x:c r="S38" s="25" t="str">
        <x:v>Two paying integrators; URL allowlist/private-IP blocking; usage caps</x:v>
      </x:c>
      <x:c r="T38" s="35" t="n">
        <x:v>3</x:v>
      </x:c>
      <x:c r="U38" s="35" t="n">
        <x:v>3</x:v>
      </x:c>
      <x:c r="V38" s="35" t="n">
        <x:v>4</x:v>
      </x:c>
      <x:c r="W38" s="35" t="n">
        <x:v>2</x:v>
      </x:c>
      <x:c r="X38" s="35" t="n">
        <x:v>5</x:v>
      </x:c>
      <x:c r="Y38" s="25" t="n">
        <x:f>(T38*Inputs!$H$5+U38*Inputs!$H$6+V38*Inputs!$H$7+W38*Inputs!$H$8+X38*Inputs!$H$9)/Inputs!$H$10*100</x:f>
        <x:v>65.99999999999999</x:v>
      </x:c>
      <x:c r="Z38" s="25" t="str">
        <x:v>E2</x:v>
      </x:c>
      <x:c r="AA38" s="25" t="str">
        <x:v>https://www.bannerbear.com/pricing/ | https://www.checklyhq.com/pricing/</x:v>
      </x:c>
    </x:row>
    <x:row r="39" ht="90" customHeight="1">
      <x:c r="A39" s="25" t="str">
        <x:v>O35</x:v>
      </x:c>
      <x:c r="B39" s="25" t="n">
        <x:v>35</x:v>
      </x:c>
      <x:c r="C39" s="25" t="str">
        <x:v>Shipping-label/barcode renderer</x:v>
      </x:c>
      <x:c r="D39" s="25" t="str">
        <x:v>API</x:v>
      </x:c>
      <x:c r="E39" s="25" t="str">
        <x:v>Generate valid client-owned SKU/barcode labels; not purchase postage or invent identifiers</x:v>
      </x:c>
      <x:c r="F39" s="25" t="str">
        <x:v>Small warehouse software vendors</x:v>
      </x:c>
      <x:c r="G39" s="33" t="n">
        <x:v>25</x:v>
      </x:c>
      <x:c r="H39" s="33" t="n">
        <x:v>150</x:v>
      </x:c>
      <x:c r="I39" s="25" t="str">
        <x:v>5–14 days</x:v>
      </x:c>
      <x:c r="J39" s="25" t="str">
        <x:v>10–30 days</x:v>
      </x:c>
      <x:c r="K39" s="25" t="str">
        <x:v>30–90 days</x:v>
      </x:c>
      <x:c r="L39" s="25" t="str">
        <x:v>90–270 days</x:v>
      </x:c>
      <x:c r="M39" s="31" t="n">
        <x:v>0.95</x:v>
      </x:c>
      <x:c r="N39" s="25" t="n">
        <x:v>2</x:v>
      </x:c>
      <x:c r="O39" s="25" t="n">
        <x:v>5</x:v>
      </x:c>
      <x:c r="P39" s="25" t="str">
        <x:v>High</x:v>
      </x:c>
      <x:c r="Q39" s="25" t="str">
        <x:v>Standards errors; printing fidelity; open-source competition</x:v>
      </x:c>
      <x:c r="R39" s="25" t="str">
        <x:v>Warehouse software integrator requests and tested label samples</x:v>
      </x:c>
      <x:c r="S39" s="25" t="str">
        <x:v>Client validates scan/print tests; no counterfeit product identifiers</x:v>
      </x:c>
      <x:c r="T39" s="35" t="n">
        <x:v>3</x:v>
      </x:c>
      <x:c r="U39" s="35" t="n">
        <x:v>3</x:v>
      </x:c>
      <x:c r="V39" s="35" t="n">
        <x:v>4</x:v>
      </x:c>
      <x:c r="W39" s="35" t="n">
        <x:v>2</x:v>
      </x:c>
      <x:c r="X39" s="35" t="n">
        <x:v>5</x:v>
      </x:c>
      <x:c r="Y39" s="25" t="n">
        <x:f>(T39*Inputs!$H$5+U39*Inputs!$H$6+V39*Inputs!$H$7+W39*Inputs!$H$8+X39*Inputs!$H$9)/Inputs!$H$10*100</x:f>
        <x:v>65.99999999999999</x:v>
      </x:c>
      <x:c r="Z39" s="25" t="str">
        <x:v>E2</x:v>
      </x:c>
      <x:c r="AA39" s="25" t="str">
        <x:v>https://www.bannerbear.com/pricing/ | https://www.upwork.com/research/in-demand-skills-2026</x:v>
      </x:c>
    </x:row>
    <x:row r="40" ht="90" customHeight="1">
      <x:c r="A40" s="25" t="str">
        <x:v>O36</x:v>
      </x:c>
      <x:c r="B40" s="25" t="n">
        <x:v>36</x:v>
      </x:c>
      <x:c r="C40" s="25" t="str">
        <x:v>Niche media conversion API</x:v>
      </x:c>
      <x:c r="D40" s="25" t="str">
        <x:v>API</x:v>
      </x:c>
      <x:c r="E40" s="25" t="str">
        <x:v>Batch conversion for one poorly served format with bounded storage and usage</x:v>
      </x:c>
      <x:c r="F40" s="25" t="str">
        <x:v>Small software vendors</x:v>
      </x:c>
      <x:c r="G40" s="33" t="n">
        <x:v>50</x:v>
      </x:c>
      <x:c r="H40" s="33" t="n">
        <x:v>250</x:v>
      </x:c>
      <x:c r="I40" s="25" t="str">
        <x:v>7–21 days</x:v>
      </x:c>
      <x:c r="J40" s="25" t="str">
        <x:v>14–45 days</x:v>
      </x:c>
      <x:c r="K40" s="25" t="str">
        <x:v>45–120 days</x:v>
      </x:c>
      <x:c r="L40" s="25" t="str">
        <x:v>120–365 days</x:v>
      </x:c>
      <x:c r="M40" s="31" t="n">
        <x:v>0.9</x:v>
      </x:c>
      <x:c r="N40" s="25" t="n">
        <x:v>3</x:v>
      </x:c>
      <x:c r="O40" s="25" t="n">
        <x:v>5</x:v>
      </x:c>
      <x:c r="P40" s="25" t="str">
        <x:v>Very high</x:v>
      </x:c>
      <x:c r="Q40" s="25" t="str">
        <x:v>Compute abuse; codec licenses; CloudConvert competition</x:v>
      </x:c>
      <x:c r="R40" s="25" t="str">
        <x:v>An integrator needs a specific unsupported workflow</x:v>
      </x:c>
      <x:c r="S40" s="25" t="str">
        <x:v>Two paid integrators; per-job limits; do not launch generic converter clone</x:v>
      </x:c>
      <x:c r="T40" s="35" t="n">
        <x:v>3</x:v>
      </x:c>
      <x:c r="U40" s="35" t="n">
        <x:v>3</x:v>
      </x:c>
      <x:c r="V40" s="35" t="n">
        <x:v>4</x:v>
      </x:c>
      <x:c r="W40" s="35" t="n">
        <x:v>2</x:v>
      </x:c>
      <x:c r="X40" s="35" t="n">
        <x:v>5</x:v>
      </x:c>
      <x:c r="Y40" s="25" t="n">
        <x:f>(T40*Inputs!$H$5+U40*Inputs!$H$6+V40*Inputs!$H$7+W40*Inputs!$H$8+X40*Inputs!$H$9)/Inputs!$H$10*100</x:f>
        <x:v>65.99999999999999</x:v>
      </x:c>
      <x:c r="Z40" s="25" t="str">
        <x:v>E2</x:v>
      </x:c>
      <x:c r="AA40" s="25" t="str">
        <x:v>https://cloudconvert.com/pricing</x:v>
      </x:c>
    </x:row>
    <x:row r="41" ht="90" customHeight="1">
      <x:c r="A41" s="25" t="str">
        <x:v>O39</x:v>
      </x:c>
      <x:c r="B41" s="25" t="n">
        <x:v>37</x:v>
      </x:c>
      <x:c r="C41" s="25" t="str">
        <x:v>API schema-drift alerts</x:v>
      </x:c>
      <x:c r="D41" s="25" t="str">
        <x:v>Subscription</x:v>
      </x:c>
      <x:c r="E41" s="25" t="str">
        <x:v>Check agreed customer-owned API examples for breaking changes and stale exports</x:v>
      </x:c>
      <x:c r="F41" s="25" t="str">
        <x:v>Small integration developers</x:v>
      </x:c>
      <x:c r="G41" s="33" t="n">
        <x:v>25</x:v>
      </x:c>
      <x:c r="H41" s="33" t="n">
        <x:v>150</x:v>
      </x:c>
      <x:c r="I41" s="25" t="str">
        <x:v>5–10 days</x:v>
      </x:c>
      <x:c r="J41" s="25" t="str">
        <x:v>10–30 days</x:v>
      </x:c>
      <x:c r="K41" s="25" t="str">
        <x:v>30–90 days</x:v>
      </x:c>
      <x:c r="L41" s="25" t="str">
        <x:v>90–240 days</x:v>
      </x:c>
      <x:c r="M41" s="31" t="n">
        <x:v>0.9</x:v>
      </x:c>
      <x:c r="N41" s="25" t="n">
        <x:v>2</x:v>
      </x:c>
      <x:c r="O41" s="25" t="n">
        <x:v>5</x:v>
      </x:c>
      <x:c r="P41" s="25" t="str">
        <x:v>High</x:v>
      </x:c>
      <x:c r="Q41" s="25" t="str">
        <x:v>False positives; access rights; existing developer tooling</x:v>
      </x:c>
      <x:c r="R41" s="25" t="str">
        <x:v>Sell to export-connector customers and specialist agencies</x:v>
      </x:c>
      <x:c r="S41" s="25" t="str">
        <x:v>Two retained teams who act on alerts; bounded schema coverage</x:v>
      </x:c>
      <x:c r="T41" s="35" t="n">
        <x:v>3</x:v>
      </x:c>
      <x:c r="U41" s="35" t="n">
        <x:v>3</x:v>
      </x:c>
      <x:c r="V41" s="35" t="n">
        <x:v>4</x:v>
      </x:c>
      <x:c r="W41" s="35" t="n">
        <x:v>3</x:v>
      </x:c>
      <x:c r="X41" s="35" t="n">
        <x:v>4</x:v>
      </x:c>
      <x:c r="Y41" s="25" t="n">
        <x:f>(T41*Inputs!$H$5+U41*Inputs!$H$6+V41*Inputs!$H$7+W41*Inputs!$H$8+X41*Inputs!$H$9)/Inputs!$H$10*100</x:f>
        <x:v>65.99999999999999</x:v>
      </x:c>
      <x:c r="Z41" s="25" t="str">
        <x:v>E2</x:v>
      </x:c>
      <x:c r="AA41" s="25" t="str">
        <x:v>https://www.checklyhq.com/pricing/ | https://docs.github.com/en/actions/reference/workflows-and-actions/events-that-trigger-workflows</x:v>
      </x:c>
    </x:row>
    <x:row r="42" ht="90" customHeight="1">
      <x:c r="A42" s="25" t="str">
        <x:v>O52</x:v>
      </x:c>
      <x:c r="B42" s="25" t="n">
        <x:v>38</x:v>
      </x:c>
      <x:c r="C42" s="25" t="str">
        <x:v>Booking-reminder workflow setup</x:v>
      </x:c>
      <x:c r="D42" s="25" t="str">
        <x:v>Service</x:v>
      </x:c>
      <x:c r="E42" s="25" t="str">
        <x:v>Configure reminders in a client-owned booking stack with valid consent and cancellation handling</x:v>
      </x:c>
      <x:c r="F42" s="25" t="str">
        <x:v>Non-regulated appointment businesses</x:v>
      </x:c>
      <x:c r="G42" s="33" t="n">
        <x:v>0</x:v>
      </x:c>
      <x:c r="H42" s="33" t="n">
        <x:v>100</x:v>
      </x:c>
      <x:c r="I42" s="25" t="str">
        <x:v>2–5 days</x:v>
      </x:c>
      <x:c r="J42" s="25" t="str">
        <x:v>3–21 days</x:v>
      </x:c>
      <x:c r="K42" s="25" t="str">
        <x:v>21–60 days</x:v>
      </x:c>
      <x:c r="L42" s="25" t="str">
        <x:v>60–180 days</x:v>
      </x:c>
      <x:c r="M42" s="31" t="n">
        <x:v>0.8</x:v>
      </x:c>
      <x:c r="N42" s="25" t="n">
        <x:v>3</x:v>
      </x:c>
      <x:c r="O42" s="25" t="n">
        <x:v>4</x:v>
      </x:c>
      <x:c r="P42" s="25" t="str">
        <x:v>Very high</x:v>
      </x:c>
      <x:c r="Q42" s="25" t="str">
        <x:v>Software already includes reminders; privacy; messaging consent</x:v>
      </x:c>
      <x:c r="R42" s="25" t="str">
        <x:v>Explicit scheduling requests; niche service-provider referrals</x:v>
      </x:c>
      <x:c r="S42" s="25" t="str">
        <x:v>Only sell an unmet workflow, not a feature the client already has</x:v>
      </x:c>
      <x:c r="T42" s="35" t="n">
        <x:v>4</x:v>
      </x:c>
      <x:c r="U42" s="35" t="n">
        <x:v>2</x:v>
      </x:c>
      <x:c r="V42" s="35" t="n">
        <x:v>4</x:v>
      </x:c>
      <x:c r="W42" s="35" t="n">
        <x:v>3</x:v>
      </x:c>
      <x:c r="X42" s="35" t="n">
        <x:v>3</x:v>
      </x:c>
      <x:c r="Y42" s="25" t="n">
        <x:f>(T42*Inputs!$H$5+U42*Inputs!$H$6+V42*Inputs!$H$7+W42*Inputs!$H$8+X42*Inputs!$H$9)/Inputs!$H$10*100</x:f>
        <x:v>65.99999999999999</x:v>
      </x:c>
      <x:c r="Z42" s="25" t="str">
        <x:v>E2</x:v>
      </x:c>
      <x:c r="AA42" s="25" t="str">
        <x:v>https://cal.com/pricing | https://crtc.gc.ca/eng/com500/faq500.htm</x:v>
      </x:c>
    </x:row>
    <x:row r="43" ht="90" customHeight="1">
      <x:c r="A43" s="25" t="str">
        <x:v>O54</x:v>
      </x:c>
      <x:c r="B43" s="25" t="n">
        <x:v>39</x:v>
      </x:c>
      <x:c r="C43" s="25" t="str">
        <x:v>Consented quote-follow-up setup</x:v>
      </x:c>
      <x:c r="D43" s="25" t="str">
        <x:v>Service</x:v>
      </x:c>
      <x:c r="E43" s="25" t="str">
        <x:v>Track customer-requested quotes and create approved follow-up tasks/messages</x:v>
      </x:c>
      <x:c r="F43" s="25" t="str">
        <x:v>Small B2B service offices</x:v>
      </x:c>
      <x:c r="G43" s="33" t="n">
        <x:v>0</x:v>
      </x:c>
      <x:c r="H43" s="33" t="n">
        <x:v>100</x:v>
      </x:c>
      <x:c r="I43" s="25" t="str">
        <x:v>2–5 days</x:v>
      </x:c>
      <x:c r="J43" s="25" t="str">
        <x:v>3–21 days</x:v>
      </x:c>
      <x:c r="K43" s="25" t="str">
        <x:v>21–60 days</x:v>
      </x:c>
      <x:c r="L43" s="25" t="str">
        <x:v>60–180 days</x:v>
      </x:c>
      <x:c r="M43" s="31" t="n">
        <x:v>0.75</x:v>
      </x:c>
      <x:c r="N43" s="25" t="n">
        <x:v>3</x:v>
      </x:c>
      <x:c r="O43" s="25" t="n">
        <x:v>4</x:v>
      </x:c>
      <x:c r="P43" s="25" t="str">
        <x:v>High</x:v>
      </x:c>
      <x:c r="Q43" s="25" t="str">
        <x:v>Spam laws; wrong messaging; attribution; already built into CRMs</x:v>
      </x:c>
      <x:c r="R43" s="25" t="str">
        <x:v>Work only with a client that documents consent/request and unmet need</x:v>
      </x:c>
      <x:c r="S43" s="25" t="str">
        <x:v>No scraped lists or autonomous cold outreach; measure staff time, not promised sales</x:v>
      </x:c>
      <x:c r="T43" s="35" t="n">
        <x:v>4</x:v>
      </x:c>
      <x:c r="U43" s="35" t="n">
        <x:v>2</x:v>
      </x:c>
      <x:c r="V43" s="35" t="n">
        <x:v>4</x:v>
      </x:c>
      <x:c r="W43" s="35" t="n">
        <x:v>3</x:v>
      </x:c>
      <x:c r="X43" s="35" t="n">
        <x:v>3</x:v>
      </x:c>
      <x:c r="Y43" s="25" t="n">
        <x:f>(T43*Inputs!$H$5+U43*Inputs!$H$6+V43*Inputs!$H$7+W43*Inputs!$H$8+X43*Inputs!$H$9)/Inputs!$H$10*100</x:f>
        <x:v>65.99999999999999</x:v>
      </x:c>
      <x:c r="Z43" s="25" t="str">
        <x:v>E2</x:v>
      </x:c>
      <x:c r="AA43" s="25" t="str">
        <x:v>https://www.pandadoc.com/pricing/ | https://crtc.gc.ca/eng/com500/faq500.htm</x:v>
      </x:c>
    </x:row>
    <x:row r="44" ht="90" customHeight="1">
      <x:c r="A44" s="25" t="str">
        <x:v>O60</x:v>
      </x:c>
      <x:c r="B44" s="25" t="n">
        <x:v>40</x:v>
      </x:c>
      <x:c r="C44" s="25" t="str">
        <x:v>Packaging/material calculation utility</x:v>
      </x:c>
      <x:c r="D44" s="25" t="str">
        <x:v>Software</x:v>
      </x:c>
      <x:c r="E44" s="25" t="str">
        <x:v>Local-first non-safety-critical packing, area or material-yield calculator with tested units</x:v>
      </x:c>
      <x:c r="F44" s="25" t="str">
        <x:v>One craft or packaging workflow</x:v>
      </x:c>
      <x:c r="G44" s="33" t="n">
        <x:v>0</x:v>
      </x:c>
      <x:c r="H44" s="33" t="n">
        <x:v>100</x:v>
      </x:c>
      <x:c r="I44" s="25" t="str">
        <x:v>3–7 days</x:v>
      </x:c>
      <x:c r="J44" s="25" t="str">
        <x:v>7–30 days</x:v>
      </x:c>
      <x:c r="K44" s="25" t="str">
        <x:v>30–90 days</x:v>
      </x:c>
      <x:c r="L44" s="25" t="str">
        <x:v>90–270 days</x:v>
      </x:c>
      <x:c r="M44" s="31" t="n">
        <x:v>0.95</x:v>
      </x:c>
      <x:c r="N44" s="25" t="n">
        <x:v>2</x:v>
      </x:c>
      <x:c r="O44" s="25" t="n">
        <x:v>4</x:v>
      </x:c>
      <x:c r="P44" s="25" t="str">
        <x:v>High</x:v>
      </x:c>
      <x:c r="Q44" s="25" t="str">
        <x:v>Free calculators; unit mistakes; niche willingness to pay not verified</x:v>
      </x:c>
      <x:c r="R44" s="25" t="str">
        <x:v>Find practitioners doing repeated calculations and sell a demonstrated time-saver</x:v>
      </x:c>
      <x:c r="S44" s="25" t="str">
        <x:v>Five paid users; test unit conversions; exclude engineering safety decisions</x:v>
      </x:c>
      <x:c r="T44" s="35" t="n">
        <x:v>4</x:v>
      </x:c>
      <x:c r="U44" s="35" t="n">
        <x:v>2</x:v>
      </x:c>
      <x:c r="V44" s="35" t="n">
        <x:v>4</x:v>
      </x:c>
      <x:c r="W44" s="35" t="n">
        <x:v>2</x:v>
      </x:c>
      <x:c r="X44" s="35" t="n">
        <x:v>4</x:v>
      </x:c>
      <x:c r="Y44" s="25" t="n">
        <x:f>(T44*Inputs!$H$5+U44*Inputs!$H$6+V44*Inputs!$H$7+W44*Inputs!$H$8+X44*Inputs!$H$9)/Inputs!$H$10*100</x:f>
        <x:v>66</x:v>
      </x:c>
      <x:c r="Z44" s="25" t="str">
        <x:v>E1</x:v>
      </x:c>
      <x:c r="AA44" s="25" t="str">
        <x:v>https://www.upwork.com/research/in-demand-skills-2026 | https://gumroad.com/pricing</x:v>
      </x:c>
    </x:row>
    <x:row r="45" ht="90" customHeight="1">
      <x:c r="A45" s="25" t="str">
        <x:v>O29</x:v>
      </x:c>
      <x:c r="B45" s="25" t="n">
        <x:v>41</x:v>
      </x:c>
      <x:c r="C45" s="25" t="str">
        <x:v>Trade-specific printable operations kit</x:v>
      </x:c>
      <x:c r="D45" s="25" t="str">
        <x:v>Digital product</x:v>
      </x:c>
      <x:c r="E45" s="25" t="str">
        <x:v>Original checklists and inspection logs for a non-regulated practical workflow</x:v>
      </x:c>
      <x:c r="F45" s="25" t="str">
        <x:v>Small maintenance or event businesses</x:v>
      </x:c>
      <x:c r="G45" s="33" t="n">
        <x:v>0</x:v>
      </x:c>
      <x:c r="H45" s="33" t="n">
        <x:v>60</x:v>
      </x:c>
      <x:c r="I45" s="25" t="str">
        <x:v>1–3 days</x:v>
      </x:c>
      <x:c r="J45" s="25" t="str">
        <x:v>3–30 days</x:v>
      </x:c>
      <x:c r="K45" s="25" t="str">
        <x:v>30–120 days</x:v>
      </x:c>
      <x:c r="L45" s="25" t="str">
        <x:v>120–365 days</x:v>
      </x:c>
      <x:c r="M45" s="31" t="n">
        <x:v>0.95</x:v>
      </x:c>
      <x:c r="N45" s="25" t="n">
        <x:v>1</x:v>
      </x:c>
      <x:c r="O45" s="25" t="n">
        <x:v>4</x:v>
      </x:c>
      <x:c r="P45" s="25" t="str">
        <x:v>Very high</x:v>
      </x:c>
      <x:c r="Q45" s="25" t="str">
        <x:v>Low ticket price; search discovery; cannot imply certification</x:v>
      </x:c>
      <x:c r="R45" s="25" t="str">
        <x:v>Interview practitioners; relevant Etsy search and allowed communities</x:v>
      </x:c>
      <x:c r="S45" s="25" t="str">
        <x:v>Three real buyers; avoid generic planner bundles</x:v>
      </x:c>
      <x:c r="T45" s="35" t="n">
        <x:v>4</x:v>
      </x:c>
      <x:c r="U45" s="35" t="n">
        <x:v>1</x:v>
      </x:c>
      <x:c r="V45" s="35" t="n">
        <x:v>5</x:v>
      </x:c>
      <x:c r="W45" s="35" t="n">
        <x:v>2</x:v>
      </x:c>
      <x:c r="X45" s="35" t="n">
        <x:v>4</x:v>
      </x:c>
      <x:c r="Y45" s="25" t="n">
        <x:f>(T45*Inputs!$H$5+U45*Inputs!$H$6+V45*Inputs!$H$7+W45*Inputs!$H$8+X45*Inputs!$H$9)/Inputs!$H$10*100</x:f>
        <x:v>65</x:v>
      </x:c>
      <x:c r="Z45" s="25" t="str">
        <x:v>E4</x:v>
      </x:c>
      <x:c r="AA45" s="25" t="str">
        <x:v>https://www.etsy.com/legal/fees/ | https://www.etsy.com/legal/creativity/</x:v>
      </x:c>
    </x:row>
    <x:row r="46" ht="90" customHeight="1">
      <x:c r="A46" s="25" t="str">
        <x:v>O30</x:v>
      </x:c>
      <x:c r="B46" s="25" t="n">
        <x:v>42</x:v>
      </x:c>
      <x:c r="C46" s="25" t="str">
        <x:v>Niche Notion operations template</x:v>
      </x:c>
      <x:c r="D46" s="25" t="str">
        <x:v>Digital product</x:v>
      </x:c>
      <x:c r="E46" s="25" t="str">
        <x:v>A task/approval system for one named professional workflow with a setup walkthrough</x:v>
      </x:c>
      <x:c r="F46" s="25" t="str">
        <x:v>Small specialized teams</x:v>
      </x:c>
      <x:c r="G46" s="33" t="n">
        <x:v>0</x:v>
      </x:c>
      <x:c r="H46" s="33" t="n">
        <x:v>60</x:v>
      </x:c>
      <x:c r="I46" s="25" t="str">
        <x:v>2–5 days</x:v>
      </x:c>
      <x:c r="J46" s="25" t="str">
        <x:v>5–30 days</x:v>
      </x:c>
      <x:c r="K46" s="25" t="str">
        <x:v>30–120 days</x:v>
      </x:c>
      <x:c r="L46" s="25" t="str">
        <x:v>120–365 days</x:v>
      </x:c>
      <x:c r="M46" s="31" t="n">
        <x:v>0.95</x:v>
      </x:c>
      <x:c r="N46" s="25" t="n">
        <x:v>1</x:v>
      </x:c>
      <x:c r="O46" s="25" t="n">
        <x:v>4</x:v>
      </x:c>
      <x:c r="P46" s="25" t="str">
        <x:v>Very high</x:v>
      </x:c>
      <x:c r="Q46" s="25" t="str">
        <x:v>Marketplace approval; free alternatives; no existing audience</x:v>
      </x:c>
      <x:c r="R46" s="25" t="str">
        <x:v>A buyer pain demo, direct licensing or eligible Notion marketplace listing</x:v>
      </x:c>
      <x:c r="S46" s="25" t="str">
        <x:v>Three paid users actually adopt the system; no vague productivity claims</x:v>
      </x:c>
      <x:c r="T46" s="35" t="n">
        <x:v>4</x:v>
      </x:c>
      <x:c r="U46" s="35" t="n">
        <x:v>1</x:v>
      </x:c>
      <x:c r="V46" s="35" t="n">
        <x:v>5</x:v>
      </x:c>
      <x:c r="W46" s="35" t="n">
        <x:v>2</x:v>
      </x:c>
      <x:c r="X46" s="35" t="n">
        <x:v>4</x:v>
      </x:c>
      <x:c r="Y46" s="25" t="n">
        <x:f>(T46*Inputs!$H$5+U46*Inputs!$H$6+V46*Inputs!$H$7+W46*Inputs!$H$8+X46*Inputs!$H$9)/Inputs!$H$10*100</x:f>
        <x:v>65</x:v>
      </x:c>
      <x:c r="Z46" s="25" t="str">
        <x:v>E4</x:v>
      </x:c>
      <x:c r="AA46" s="25" t="str">
        <x:v>https://www.notion.com/help/selling-on-marketplace</x:v>
      </x:c>
    </x:row>
    <x:row r="47" ht="90" customHeight="1">
      <x:c r="A47" s="25" t="str">
        <x:v>O17</x:v>
      </x:c>
      <x:c r="B47" s="25" t="n">
        <x:v>43</x:v>
      </x:c>
      <x:c r="C47" s="25" t="str">
        <x:v>Client approval portal</x:v>
      </x:c>
      <x:c r="D47" s="25" t="str">
        <x:v>Subscription</x:v>
      </x:c>
      <x:c r="E47" s="25" t="str">
        <x:v>Versioned deliverable approvals and reminders for one specialist workflow</x:v>
      </x:c>
      <x:c r="F47" s="25" t="str">
        <x:v>Small design or production agencies</x:v>
      </x:c>
      <x:c r="G47" s="33" t="n">
        <x:v>50</x:v>
      </x:c>
      <x:c r="H47" s="33" t="n">
        <x:v>250</x:v>
      </x:c>
      <x:c r="I47" s="25" t="str">
        <x:v>7–21 days</x:v>
      </x:c>
      <x:c r="J47" s="25" t="str">
        <x:v>14–45 days</x:v>
      </x:c>
      <x:c r="K47" s="25" t="str">
        <x:v>45–120 days</x:v>
      </x:c>
      <x:c r="L47" s="25" t="str">
        <x:v>120–300 days</x:v>
      </x:c>
      <x:c r="M47" s="31" t="n">
        <x:v>0.9</x:v>
      </x:c>
      <x:c r="N47" s="25" t="n">
        <x:v>2</x:v>
      </x:c>
      <x:c r="O47" s="25" t="n">
        <x:v>5</x:v>
      </x:c>
      <x:c r="P47" s="25" t="str">
        <x:v>Very high</x:v>
      </x:c>
      <x:c r="Q47" s="25" t="str">
        <x:v>Crowded horizontal category; client friction; file security</x:v>
      </x:c>
      <x:c r="R47" s="25" t="str">
        <x:v>Service clients; niche workflow partnership instead of generic portal SEO</x:v>
      </x:c>
      <x:c r="S47" s="25" t="str">
        <x:v>Five customers use it weekly; stop if existing tools solve the same problem</x:v>
      </x:c>
      <x:c r="T47" s="35" t="n">
        <x:v>3</x:v>
      </x:c>
      <x:c r="U47" s="35" t="n">
        <x:v>3</x:v>
      </x:c>
      <x:c r="V47" s="35" t="n">
        <x:v>4</x:v>
      </x:c>
      <x:c r="W47" s="35" t="n">
        <x:v>2</x:v>
      </x:c>
      <x:c r="X47" s="35" t="n">
        <x:v>4</x:v>
      </x:c>
      <x:c r="Y47" s="25" t="n">
        <x:f>(T47*Inputs!$H$5+U47*Inputs!$H$6+V47*Inputs!$H$7+W47*Inputs!$H$8+X47*Inputs!$H$9)/Inputs!$H$10*100</x:f>
        <x:v>63.99999999999999</x:v>
      </x:c>
      <x:c r="Z47" s="25" t="str">
        <x:v>E2</x:v>
      </x:c>
      <x:c r="AA47" s="25" t="str">
        <x:v>https://www.pandadoc.com/pricing/ | https://www.upwork.com/research/in-demand-skills-2026</x:v>
      </x:c>
    </x:row>
    <x:row r="48" ht="90" customHeight="1">
      <x:c r="A48" s="25" t="str">
        <x:v>O21</x:v>
      </x:c>
      <x:c r="B48" s="25" t="n">
        <x:v>44</x:v>
      </x:c>
      <x:c r="C48" s="25" t="str">
        <x:v>Local-first browser form assistant</x:v>
      </x:c>
      <x:c r="D48" s="25" t="str">
        <x:v>Software</x:v>
      </x:c>
      <x:c r="E48" s="25" t="str">
        <x:v>User-triggered field filling for one professional workflow; no background data harvesting</x:v>
      </x:c>
      <x:c r="F48" s="25" t="str">
        <x:v>People repeatedly completing their own business forms</x:v>
      </x:c>
      <x:c r="G48" s="33" t="n">
        <x:v>25</x:v>
      </x:c>
      <x:c r="H48" s="33" t="n">
        <x:v>200</x:v>
      </x:c>
      <x:c r="I48" s="25" t="str">
        <x:v>7–21 days</x:v>
      </x:c>
      <x:c r="J48" s="25" t="str">
        <x:v>14–45 days</x:v>
      </x:c>
      <x:c r="K48" s="25" t="str">
        <x:v>45–120 days</x:v>
      </x:c>
      <x:c r="L48" s="25" t="str">
        <x:v>120–365 days</x:v>
      </x:c>
      <x:c r="M48" s="31" t="n">
        <x:v>0.9</x:v>
      </x:c>
      <x:c r="N48" s="25" t="n">
        <x:v>2</x:v>
      </x:c>
      <x:c r="O48" s="25" t="n">
        <x:v>5</x:v>
      </x:c>
      <x:c r="P48" s="25" t="str">
        <x:v>Very high</x:v>
      </x:c>
      <x:c r="Q48" s="25" t="str">
        <x:v>Permissions/privacy; free competition; browser store review</x:v>
      </x:c>
      <x:c r="R48" s="25" t="str">
        <x:v>Meet a small professional group with the same form; paid pilot</x:v>
      </x:c>
      <x:c r="S48" s="25" t="str">
        <x:v>No broad host permissions; five buyers demonstrate a repeated need</x:v>
      </x:c>
      <x:c r="T48" s="35" t="n">
        <x:v>3</x:v>
      </x:c>
      <x:c r="U48" s="35" t="n">
        <x:v>3</x:v>
      </x:c>
      <x:c r="V48" s="35" t="n">
        <x:v>4</x:v>
      </x:c>
      <x:c r="W48" s="35" t="n">
        <x:v>2</x:v>
      </x:c>
      <x:c r="X48" s="35" t="n">
        <x:v>4</x:v>
      </x:c>
      <x:c r="Y48" s="25" t="n">
        <x:f>(T48*Inputs!$H$5+U48*Inputs!$H$6+V48*Inputs!$H$7+W48*Inputs!$H$8+X48*Inputs!$H$9)/Inputs!$H$10*100</x:f>
        <x:v>63.99999999999999</x:v>
      </x:c>
      <x:c r="Z48" s="25" t="str">
        <x:v>E4</x:v>
      </x:c>
      <x:c r="AA48" s="25" t="str">
        <x:v>https://developer.chrome.com/docs/webstore/program-policies/policies</x:v>
      </x:c>
    </x:row>
    <x:row r="49" ht="90" customHeight="1">
      <x:c r="A49" s="25" t="str">
        <x:v>O22</x:v>
      </x:c>
      <x:c r="B49" s="25" t="n">
        <x:v>45</x:v>
      </x:c>
      <x:c r="C49" s="25" t="str">
        <x:v>VS Code schema validator</x:v>
      </x:c>
      <x:c r="D49" s="25" t="str">
        <x:v>Software</x:v>
      </x:c>
      <x:c r="E49" s="25" t="str">
        <x:v>A niche configuration-file validator with actionable errors and fixtures</x:v>
      </x:c>
      <x:c r="F49" s="25" t="str">
        <x:v>Developers of one specific open ecosystem</x:v>
      </x:c>
      <x:c r="G49" s="33" t="n">
        <x:v>0</x:v>
      </x:c>
      <x:c r="H49" s="33" t="n">
        <x:v>150</x:v>
      </x:c>
      <x:c r="I49" s="25" t="str">
        <x:v>5–14 days</x:v>
      </x:c>
      <x:c r="J49" s="25" t="str">
        <x:v>10–30 days</x:v>
      </x:c>
      <x:c r="K49" s="25" t="str">
        <x:v>30–120 days</x:v>
      </x:c>
      <x:c r="L49" s="25" t="str">
        <x:v>120–365 days</x:v>
      </x:c>
      <x:c r="M49" s="31" t="n">
        <x:v>0.9</x:v>
      </x:c>
      <x:c r="N49" s="25" t="n">
        <x:v>2</x:v>
      </x:c>
      <x:c r="O49" s="25" t="n">
        <x:v>5</x:v>
      </x:c>
      <x:c r="P49" s="25" t="str">
        <x:v>High</x:v>
      </x:c>
      <x:c r="Q49" s="25" t="str">
        <x:v>Open-source alternatives; marketplace payment limitations; API changes</x:v>
      </x:c>
      <x:c r="R49" s="25" t="str">
        <x:v>Maintainer-approved examples and partner documentation; licensed downloads</x:v>
      </x:c>
      <x:c r="S49" s="25" t="str">
        <x:v>Five paying teams or a sponsoring integration partner before expanding</x:v>
      </x:c>
      <x:c r="T49" s="35" t="n">
        <x:v>3</x:v>
      </x:c>
      <x:c r="U49" s="35" t="n">
        <x:v>3</x:v>
      </x:c>
      <x:c r="V49" s="35" t="n">
        <x:v>4</x:v>
      </x:c>
      <x:c r="W49" s="35" t="n">
        <x:v>2</x:v>
      </x:c>
      <x:c r="X49" s="35" t="n">
        <x:v>4</x:v>
      </x:c>
      <x:c r="Y49" s="25" t="n">
        <x:f>(T49*Inputs!$H$5+U49*Inputs!$H$6+V49*Inputs!$H$7+W49*Inputs!$H$8+X49*Inputs!$H$9)/Inputs!$H$10*100</x:f>
        <x:v>63.99999999999999</x:v>
      </x:c>
      <x:c r="Z49" s="25" t="str">
        <x:v>E1</x:v>
      </x:c>
      <x:c r="AA49" s="25" t="str">
        <x:v>https://www.upwork.com/research/in-demand-skills-2026 | https://gumroad.com/pricing</x:v>
      </x:c>
    </x:row>
    <x:row r="50" ht="90" customHeight="1">
      <x:c r="A50" s="25" t="str">
        <x:v>O40</x:v>
      </x:c>
      <x:c r="B50" s="25" t="n">
        <x:v>46</x:v>
      </x:c>
      <x:c r="C50" s="25" t="str">
        <x:v>Licensed public-tender digest</x:v>
      </x:c>
      <x:c r="D50" s="25" t="str">
        <x:v>Information service</x:v>
      </x:c>
      <x:c r="E50" s="25" t="str">
        <x:v>Permission-compliant tender shortlists for one supplier category and region</x:v>
      </x:c>
      <x:c r="F50" s="25" t="str">
        <x:v>Small suppliers who lack time to sift public tenders</x:v>
      </x:c>
      <x:c r="G50" s="33" t="n">
        <x:v>0</x:v>
      </x:c>
      <x:c r="H50" s="33" t="n">
        <x:v>200</x:v>
      </x:c>
      <x:c r="I50" s="25" t="str">
        <x:v>3–7 days</x:v>
      </x:c>
      <x:c r="J50" s="25" t="str">
        <x:v>7–30 days</x:v>
      </x:c>
      <x:c r="K50" s="25" t="str">
        <x:v>30–90 days</x:v>
      </x:c>
      <x:c r="L50" s="25" t="str">
        <x:v>90–270 days</x:v>
      </x:c>
      <x:c r="M50" s="31" t="n">
        <x:v>0.85</x:v>
      </x:c>
      <x:c r="N50" s="25" t="n">
        <x:v>3</x:v>
      </x:c>
      <x:c r="O50" s="25" t="n">
        <x:v>5</x:v>
      </x:c>
      <x:c r="P50" s="25" t="str">
        <x:v>High</x:v>
      </x:c>
      <x:c r="Q50" s="25" t="str">
        <x:v>Feed licensing; missed deadlines; free official portals</x:v>
      </x:c>
      <x:c r="R50" s="25" t="str">
        <x:v>Interview suppliers and pre-sell a sample digest; partner with trade groups</x:v>
      </x:c>
      <x:c r="S50" s="25" t="str">
        <x:v>Verify republication/feed rights; three paid subscribers before automation</x:v>
      </x:c>
      <x:c r="T50" s="35" t="n">
        <x:v>4</x:v>
      </x:c>
      <x:c r="U50" s="35" t="n">
        <x:v>2</x:v>
      </x:c>
      <x:c r="V50" s="35" t="n">
        <x:v>3</x:v>
      </x:c>
      <x:c r="W50" s="35" t="n">
        <x:v>3</x:v>
      </x:c>
      <x:c r="X50" s="35" t="n">
        <x:v>4</x:v>
      </x:c>
      <x:c r="Y50" s="25" t="n">
        <x:f>(T50*Inputs!$H$5+U50*Inputs!$H$6+V50*Inputs!$H$7+W50*Inputs!$H$8+X50*Inputs!$H$9)/Inputs!$H$10*100</x:f>
        <x:v>63.99999999999999</x:v>
      </x:c>
      <x:c r="Z50" s="25" t="str">
        <x:v>E2</x:v>
      </x:c>
      <x:c r="AA50" s="25" t="str">
        <x:v>https://www.merx.com/</x:v>
      </x:c>
    </x:row>
    <x:row r="51" ht="90" customHeight="1">
      <x:c r="A51" s="25" t="str">
        <x:v>O41</x:v>
      </x:c>
      <x:c r="B51" s="25" t="n">
        <x:v>47</x:v>
      </x:c>
      <x:c r="C51" s="25" t="str">
        <x:v>Grant-discovery digest</x:v>
      </x:c>
      <x:c r="D51" s="25" t="str">
        <x:v>Information service</x:v>
      </x:c>
      <x:c r="E51" s="25" t="str">
        <x:v>Curated official grant notices for a narrow eligible business segment; no award promises</x:v>
      </x:c>
      <x:c r="F51" s="25" t="str">
        <x:v>One clearly defined business segment</x:v>
      </x:c>
      <x:c r="G51" s="33" t="n">
        <x:v>0</x:v>
      </x:c>
      <x:c r="H51" s="33" t="n">
        <x:v>150</x:v>
      </x:c>
      <x:c r="I51" s="25" t="str">
        <x:v>3–7 days</x:v>
      </x:c>
      <x:c r="J51" s="25" t="str">
        <x:v>7–30 days</x:v>
      </x:c>
      <x:c r="K51" s="25" t="str">
        <x:v>30–90 days</x:v>
      </x:c>
      <x:c r="L51" s="25" t="str">
        <x:v>120–365 days</x:v>
      </x:c>
      <x:c r="M51" s="31" t="n">
        <x:v>0.75</x:v>
      </x:c>
      <x:c r="N51" s="25" t="n">
        <x:v>3</x:v>
      </x:c>
      <x:c r="O51" s="25" t="n">
        <x:v>5</x:v>
      </x:c>
      <x:c r="P51" s="25" t="str">
        <x:v>High</x:v>
      </x:c>
      <x:c r="Q51" s="25" t="str">
        <x:v>Eligibility errors; free information; short-lived demand; no direct spend validation</x:v>
      </x:c>
      <x:c r="R51" s="25" t="str">
        <x:v>Ask trade associations for consent-based pilot distribution</x:v>
      </x:c>
      <x:c r="S51" s="25" t="str">
        <x:v>Category-adjacent evidence only; require three paid subscribers before building</x:v>
      </x:c>
      <x:c r="T51" s="35" t="n">
        <x:v>4</x:v>
      </x:c>
      <x:c r="U51" s="35" t="n">
        <x:v>2</x:v>
      </x:c>
      <x:c r="V51" s="35" t="n">
        <x:v>3</x:v>
      </x:c>
      <x:c r="W51" s="35" t="n">
        <x:v>2</x:v>
      </x:c>
      <x:c r="X51" s="35" t="n">
        <x:v>4</x:v>
      </x:c>
      <x:c r="Y51" s="25" t="n">
        <x:f>(T51*Inputs!$H$5+U51*Inputs!$H$6+V51*Inputs!$H$7+W51*Inputs!$H$8+X51*Inputs!$H$9)/Inputs!$H$10*100</x:f>
        <x:v>62</x:v>
      </x:c>
      <x:c r="Z51" s="25" t="str">
        <x:v>E2</x:v>
      </x:c>
      <x:c r="AA51" s="25" t="str">
        <x:v>https://www.merx.com/</x:v>
      </x:c>
    </x:row>
    <x:row r="52" ht="90" customHeight="1">
      <x:c r="A52" s="25" t="str">
        <x:v>O58</x:v>
      </x:c>
      <x:c r="B52" s="25" t="n">
        <x:v>48</x:v>
      </x:c>
      <x:c r="C52" s="25" t="str">
        <x:v>Team/event preorder storefront</x:v>
      </x:c>
      <x:c r="D52" s="25" t="str">
        <x:v>Print on demand</x:v>
      </x:c>
      <x:c r="E52" s="25" t="str">
        <x:v>Permissioned team merchandise campaign with prepaid demand before production</x:v>
      </x:c>
      <x:c r="F52" s="25" t="str">
        <x:v>Small teams and event organizers</x:v>
      </x:c>
      <x:c r="G52" s="33" t="n">
        <x:v>50</x:v>
      </x:c>
      <x:c r="H52" s="33" t="n">
        <x:v>250</x:v>
      </x:c>
      <x:c r="I52" s="25" t="str">
        <x:v>3–7 days</x:v>
      </x:c>
      <x:c r="J52" s="25" t="str">
        <x:v>5–30 days</x:v>
      </x:c>
      <x:c r="K52" s="25" t="str">
        <x:v>30–120 days</x:v>
      </x:c>
      <x:c r="L52" s="25" t="str">
        <x:v>90–270 days</x:v>
      </x:c>
      <x:c r="M52" s="31" t="n">
        <x:v>0.7</x:v>
      </x:c>
      <x:c r="N52" s="25" t="n">
        <x:v>4</x:v>
      </x:c>
      <x:c r="O52" s="25" t="n">
        <x:v>5</x:v>
      </x:c>
      <x:c r="P52" s="25" t="str">
        <x:v>High</x:v>
      </x:c>
      <x:c r="Q52" s="25" t="str">
        <x:v>Seasonal batches; trademark permission; delivery deadlines; not recurring</x:v>
      </x:c>
      <x:c r="R52" s="25" t="str">
        <x:v>Partner with one organizer who already has opt-in distribution</x:v>
      </x:c>
      <x:c r="S52" s="25" t="str">
        <x:v>Written logo rights; paid preorder threshold; delivery dates disclosed</x:v>
      </x:c>
      <x:c r="T52" s="35" t="n">
        <x:v>4</x:v>
      </x:c>
      <x:c r="U52" s="35" t="n">
        <x:v>2</x:v>
      </x:c>
      <x:c r="V52" s="35" t="n">
        <x:v>3</x:v>
      </x:c>
      <x:c r="W52" s="35" t="n">
        <x:v>3</x:v>
      </x:c>
      <x:c r="X52" s="35" t="n">
        <x:v>3</x:v>
      </x:c>
      <x:c r="Y52" s="25" t="n">
        <x:f>(T52*Inputs!$H$5+U52*Inputs!$H$6+V52*Inputs!$H$7+W52*Inputs!$H$8+X52*Inputs!$H$9)/Inputs!$H$10*100</x:f>
        <x:v>61.999999999999986</x:v>
      </x:c>
      <x:c r="Z52" s="25" t="str">
        <x:v>E4</x:v>
      </x:c>
      <x:c r="AA52" s="25" t="str">
        <x:v>https://www.printful.com/pricing | https://www.etsy.com/legal/fees/</x:v>
      </x:c>
    </x:row>
    <x:row r="53" ht="90" customHeight="1">
      <x:c r="A53" s="25" t="str">
        <x:v>O32</x:v>
      </x:c>
      <x:c r="B53" s="25" t="n">
        <x:v>49</x:v>
      </x:c>
      <x:c r="C53" s="25" t="str">
        <x:v>Laser-cut/CNC pattern licenses</x:v>
      </x:c>
      <x:c r="D53" s="25" t="str">
        <x:v>Digital product</x:v>
      </x:c>
      <x:c r="E53" s="25" t="str">
        <x:v>Original parametric non-safety-critical decorative patterns with material tests</x:v>
      </x:c>
      <x:c r="F53" s="25" t="str">
        <x:v>Makers and small fabricators</x:v>
      </x:c>
      <x:c r="G53" s="33" t="n">
        <x:v>0</x:v>
      </x:c>
      <x:c r="H53" s="33" t="n">
        <x:v>200</x:v>
      </x:c>
      <x:c r="I53" s="25" t="str">
        <x:v>3–10 days</x:v>
      </x:c>
      <x:c r="J53" s="25" t="str">
        <x:v>5–30 days</x:v>
      </x:c>
      <x:c r="K53" s="25" t="str">
        <x:v>30–120 days</x:v>
      </x:c>
      <x:c r="L53" s="25" t="str">
        <x:v>120–365 days</x:v>
      </x:c>
      <x:c r="M53" s="31" t="n">
        <x:v>0.9</x:v>
      </x:c>
      <x:c r="N53" s="25" t="n">
        <x:v>2</x:v>
      </x:c>
      <x:c r="O53" s="25" t="n">
        <x:v>4</x:v>
      </x:c>
      <x:c r="P53" s="25" t="str">
        <x:v>High</x:v>
      </x:c>
      <x:c r="Q53" s="25" t="str">
        <x:v>Untested tolerances; copied designs; material/tool variation</x:v>
      </x:c>
      <x:c r="R53" s="25" t="str">
        <x:v>Tested physical sample plus maker-marketplace listing</x:v>
      </x:c>
      <x:c r="S53" s="25" t="str">
        <x:v>Use original designs; no structural or safety-critical parts</x:v>
      </x:c>
      <x:c r="T53" s="35" t="n">
        <x:v>4</x:v>
      </x:c>
      <x:c r="U53" s="35" t="n">
        <x:v>1</x:v>
      </x:c>
      <x:c r="V53" s="35" t="n">
        <x:v>4</x:v>
      </x:c>
      <x:c r="W53" s="35" t="n">
        <x:v>2</x:v>
      </x:c>
      <x:c r="X53" s="35" t="n">
        <x:v>4</x:v>
      </x:c>
      <x:c r="Y53" s="25" t="n">
        <x:f>(T53*Inputs!$H$5+U53*Inputs!$H$6+V53*Inputs!$H$7+W53*Inputs!$H$8+X53*Inputs!$H$9)/Inputs!$H$10*100</x:f>
        <x:v>61.00000000000001</x:v>
      </x:c>
      <x:c r="Z53" s="25" t="str">
        <x:v>E4</x:v>
      </x:c>
      <x:c r="AA53" s="25" t="str">
        <x:v>https://www.etsy.com/legal/fees/ | https://www.etsy.com/legal/creativity/</x:v>
      </x:c>
    </x:row>
    <x:row r="54" ht="90" customHeight="1">
      <x:c r="A54" s="25" t="str">
        <x:v>O56</x:v>
      </x:c>
      <x:c r="B54" s="25" t="n">
        <x:v>50</x:v>
      </x:c>
      <x:c r="C54" s="25" t="str">
        <x:v>Original technical practice workbook</x:v>
      </x:c>
      <x:c r="D54" s="25" t="str">
        <x:v>Education</x:v>
      </x:c>
      <x:c r="E54" s="25" t="str">
        <x:v>Original worked examples and testable practice files for a non-regulated skill</x:v>
      </x:c>
      <x:c r="F54" s="25" t="str">
        <x:v>Self-directed learners</x:v>
      </x:c>
      <x:c r="G54" s="33" t="n">
        <x:v>0</x:v>
      </x:c>
      <x:c r="H54" s="33" t="n">
        <x:v>100</x:v>
      </x:c>
      <x:c r="I54" s="25" t="str">
        <x:v>3–7 days</x:v>
      </x:c>
      <x:c r="J54" s="25" t="str">
        <x:v>5–30 days</x:v>
      </x:c>
      <x:c r="K54" s="25" t="str">
        <x:v>30–120 days</x:v>
      </x:c>
      <x:c r="L54" s="25" t="str">
        <x:v>120–365 days</x:v>
      </x:c>
      <x:c r="M54" s="31" t="n">
        <x:v>0.9</x:v>
      </x:c>
      <x:c r="N54" s="25" t="n">
        <x:v>2</x:v>
      </x:c>
      <x:c r="O54" s="25" t="n">
        <x:v>4</x:v>
      </x:c>
      <x:c r="P54" s="25" t="str">
        <x:v>Very high</x:v>
      </x:c>
      <x:c r="Q54" s="25" t="str">
        <x:v>Accuracy and pedagogical quality; copyright; low-ticket acquisition</x:v>
      </x:c>
      <x:c r="R54" s="25" t="str">
        <x:v>A free sample plus tutor/community partnership; no copied course material</x:v>
      </x:c>
      <x:c r="S54" s="25" t="str">
        <x:v>Three paying learners; reviewed answers; no exam cheating or grade guarantees</x:v>
      </x:c>
      <x:c r="T54" s="35" t="n">
        <x:v>4</x:v>
      </x:c>
      <x:c r="U54" s="35" t="n">
        <x:v>1</x:v>
      </x:c>
      <x:c r="V54" s="35" t="n">
        <x:v>4</x:v>
      </x:c>
      <x:c r="W54" s="35" t="n">
        <x:v>2</x:v>
      </x:c>
      <x:c r="X54" s="35" t="n">
        <x:v>4</x:v>
      </x:c>
      <x:c r="Y54" s="25" t="n">
        <x:f>(T54*Inputs!$H$5+U54*Inputs!$H$6+V54*Inputs!$H$7+W54*Inputs!$H$8+X54*Inputs!$H$9)/Inputs!$H$10*100</x:f>
        <x:v>61.00000000000001</x:v>
      </x:c>
      <x:c r="Z54" s="25" t="str">
        <x:v>E4</x:v>
      </x:c>
      <x:c r="AA54" s="25" t="str">
        <x:v>https://www.etsy.com/legal/fees/ | https://gumroad.com/pricing</x:v>
      </x:c>
    </x:row>
    <x:row r="55" ht="90" customHeight="1">
      <x:c r="A55" s="25" t="str">
        <x:v>O42</x:v>
      </x:c>
      <x:c r="B55" s="25" t="n">
        <x:v>51</x:v>
      </x:c>
      <x:c r="C55" s="25" t="str">
        <x:v>Licensed permit-dataset alerts</x:v>
      </x:c>
      <x:c r="D55" s="25" t="str">
        <x:v>Information service</x:v>
      </x:c>
      <x:c r="E55" s="25" t="str">
        <x:v>Normalize an explicitly reusable municipal open dataset into geographic alerts</x:v>
      </x:c>
      <x:c r="F55" s="25" t="str">
        <x:v>Suppliers interested in licensed public commercial project data</x:v>
      </x:c>
      <x:c r="G55" s="33" t="n">
        <x:v>0</x:v>
      </x:c>
      <x:c r="H55" s="33" t="n">
        <x:v>200</x:v>
      </x:c>
      <x:c r="I55" s="25" t="str">
        <x:v>5–14 days</x:v>
      </x:c>
      <x:c r="J55" s="25" t="str">
        <x:v>14–45 days</x:v>
      </x:c>
      <x:c r="K55" s="25" t="str">
        <x:v>45–120 days</x:v>
      </x:c>
      <x:c r="L55" s="25" t="str">
        <x:v>120–365 days</x:v>
      </x:c>
      <x:c r="M55" s="31" t="n">
        <x:v>0.85</x:v>
      </x:c>
      <x:c r="N55" s="25" t="n">
        <x:v>3</x:v>
      </x:c>
      <x:c r="O55" s="25" t="n">
        <x:v>5</x:v>
      </x:c>
      <x:c r="P55" s="25" t="str">
        <x:v>Medium-high</x:v>
      </x:c>
      <x:c r="Q55" s="25" t="str">
        <x:v>No verified dataset license yet; privacy; stale records; no niche spend proof</x:v>
      </x:c>
      <x:c r="R55" s="25" t="str">
        <x:v>Secure a lawful feed and sell a sample to a supplier</x:v>
      </x:c>
      <x:c r="S55" s="25" t="str">
        <x:v>Do not build until source license and at least two paid buyers are verified</x:v>
      </x:c>
      <x:c r="T55" s="35" t="n">
        <x:v>3</x:v>
      </x:c>
      <x:c r="U55" s="35" t="n">
        <x:v>3</x:v>
      </x:c>
      <x:c r="V55" s="35" t="n">
        <x:v>3</x:v>
      </x:c>
      <x:c r="W55" s="35" t="n">
        <x:v>2</x:v>
      </x:c>
      <x:c r="X55" s="35" t="n">
        <x:v>4</x:v>
      </x:c>
      <x:c r="Y55" s="25" t="n">
        <x:f>(T55*Inputs!$H$5+U55*Inputs!$H$6+V55*Inputs!$H$7+W55*Inputs!$H$8+X55*Inputs!$H$9)/Inputs!$H$10*100</x:f>
        <x:v>60</x:v>
      </x:c>
      <x:c r="Z55" s="25" t="str">
        <x:v>E2</x:v>
      </x:c>
      <x:c r="AA55" s="25" t="str">
        <x:v>https://www.merx.com/</x:v>
      </x:c>
    </x:row>
    <x:row r="56" ht="90" customHeight="1">
      <x:c r="A56" s="25" t="str">
        <x:v>O43</x:v>
      </x:c>
      <x:c r="B56" s="25" t="n">
        <x:v>52</x:v>
      </x:c>
      <x:c r="C56" s="25" t="str">
        <x:v>Opt-in niche supplier directory</x:v>
      </x:c>
      <x:c r="D56" s="25" t="str">
        <x:v>Directory</x:v>
      </x:c>
      <x:c r="E56" s="25" t="str">
        <x:v>Verified opt-in supplier listings for a narrow underserved professional category</x:v>
      </x:c>
      <x:c r="F56" s="25" t="str">
        <x:v>Suppliers seeking qualified inbound enquiries</x:v>
      </x:c>
      <x:c r="G56" s="33" t="n">
        <x:v>0</x:v>
      </x:c>
      <x:c r="H56" s="33" t="n">
        <x:v>150</x:v>
      </x:c>
      <x:c r="I56" s="25" t="str">
        <x:v>3–7 days</x:v>
      </x:c>
      <x:c r="J56" s="25" t="str">
        <x:v>14–60 days</x:v>
      </x:c>
      <x:c r="K56" s="25" t="str">
        <x:v>60–180 days</x:v>
      </x:c>
      <x:c r="L56" s="25" t="str">
        <x:v>180–365 days</x:v>
      </x:c>
      <x:c r="M56" s="31" t="n">
        <x:v>0.8</x:v>
      </x:c>
      <x:c r="N56" s="25" t="n">
        <x:v>3</x:v>
      </x:c>
      <x:c r="O56" s="25" t="n">
        <x:v>6</x:v>
      </x:c>
      <x:c r="P56" s="25" t="str">
        <x:v>High</x:v>
      </x:c>
      <x:c r="Q56" s="25" t="str">
        <x:v>Two-sided marketplace cold start; no traffic; weak differentiation</x:v>
      </x:c>
      <x:c r="R56" s="25" t="str">
        <x:v>Get supplier and buyer commitments through an existing trade group</x:v>
      </x:c>
      <x:c r="S56" s="25" t="str">
        <x:v>Ten active buyers before charging recurring listings; no invented traffic claims</x:v>
      </x:c>
      <x:c r="T56" s="35" t="n">
        <x:v>3</x:v>
      </x:c>
      <x:c r="U56" s="35" t="n">
        <x:v>2</x:v>
      </x:c>
      <x:c r="V56" s="35" t="n">
        <x:v>4</x:v>
      </x:c>
      <x:c r="W56" s="35" t="n">
        <x:v>2</x:v>
      </x:c>
      <x:c r="X56" s="35" t="n">
        <x:v>4</x:v>
      </x:c>
      <x:c r="Y56" s="25" t="n">
        <x:f>(T56*Inputs!$H$5+U56*Inputs!$H$6+V56*Inputs!$H$7+W56*Inputs!$H$8+X56*Inputs!$H$9)/Inputs!$H$10*100</x:f>
        <x:v>59</x:v>
      </x:c>
      <x:c r="Z56" s="25" t="str">
        <x:v>E2</x:v>
      </x:c>
      <x:c r="AA56" s="25" t="str">
        <x:v>https://www.merx.com/ | https://www.shopify.com/news/billion-dollar-ecosystem</x:v>
      </x:c>
    </x:row>
    <x:row r="57" ht="90" customHeight="1">
      <x:c r="A57" s="25" t="str">
        <x:v>O55</x:v>
      </x:c>
      <x:c r="B57" s="25" t="n">
        <x:v>53</x:v>
      </x:c>
      <x:c r="C57" s="25" t="str">
        <x:v>Focused technical mini-course</x:v>
      </x:c>
      <x:c r="D57" s="25" t="str">
        <x:v>Education</x:v>
      </x:c>
      <x:c r="E57" s="25" t="str">
        <x:v>A short tested course solving one software workflow, with exercises and files</x:v>
      </x:c>
      <x:c r="F57" s="25" t="str">
        <x:v>Practitioners who already need the workflow</x:v>
      </x:c>
      <x:c r="G57" s="33" t="n">
        <x:v>0</x:v>
      </x:c>
      <x:c r="H57" s="33" t="n">
        <x:v>150</x:v>
      </x:c>
      <x:c r="I57" s="25" t="str">
        <x:v>5–14 days</x:v>
      </x:c>
      <x:c r="J57" s="25" t="str">
        <x:v>7–45 days</x:v>
      </x:c>
      <x:c r="K57" s="25" t="str">
        <x:v>45–120 days</x:v>
      </x:c>
      <x:c r="L57" s="25" t="str">
        <x:v>120–365 days</x:v>
      </x:c>
      <x:c r="M57" s="31" t="n">
        <x:v>0.9</x:v>
      </x:c>
      <x:c r="N57" s="25" t="n">
        <x:v>3</x:v>
      </x:c>
      <x:c r="O57" s="25" t="n">
        <x:v>5</x:v>
      </x:c>
      <x:c r="P57" s="25" t="str">
        <x:v>Very high</x:v>
      </x:c>
      <x:c r="Q57" s="25" t="str">
        <x:v>Free tutorials; discovery; updates; unsupported authority claims</x:v>
      </x:c>
      <x:c r="R57" s="25" t="str">
        <x:v>Pre-sell a live small workshop before recording a large course</x:v>
      </x:c>
      <x:c r="S57" s="25" t="str">
        <x:v>Five paid workshop attendees with useful feedback before recording</x:v>
      </x:c>
      <x:c r="T57" s="35" t="n">
        <x:v>3</x:v>
      </x:c>
      <x:c r="U57" s="35" t="n">
        <x:v>2</x:v>
      </x:c>
      <x:c r="V57" s="35" t="n">
        <x:v>4</x:v>
      </x:c>
      <x:c r="W57" s="35" t="n">
        <x:v>2</x:v>
      </x:c>
      <x:c r="X57" s="35" t="n">
        <x:v>4</x:v>
      </x:c>
      <x:c r="Y57" s="25" t="n">
        <x:f>(T57*Inputs!$H$5+U57*Inputs!$H$6+V57*Inputs!$H$7+W57*Inputs!$H$8+X57*Inputs!$H$9)/Inputs!$H$10*100</x:f>
        <x:v>59</x:v>
      </x:c>
      <x:c r="Z57" s="25" t="str">
        <x:v>E1</x:v>
      </x:c>
      <x:c r="AA57" s="25" t="str">
        <x:v>https://www.upwork.com/research/in-demand-skills-2026 | https://gumroad.com/pricing</x:v>
      </x:c>
    </x:row>
    <x:row r="58" ht="90" customHeight="1">
      <x:c r="A58" s="25" t="str">
        <x:v>O45</x:v>
      </x:c>
      <x:c r="B58" s="25" t="n">
        <x:v>54</x:v>
      </x:c>
      <x:c r="C58" s="25" t="str">
        <x:v>Specialist job board</x:v>
      </x:c>
      <x:c r="D58" s="25" t="str">
        <x:v>Marketplace</x:v>
      </x:c>
      <x:c r="E58" s="25" t="str">
        <x:v>Paid verified vacancies in a narrow underserved technical niche</x:v>
      </x:c>
      <x:c r="F58" s="25" t="str">
        <x:v>Employers with genuinely hard-to-reach candidates</x:v>
      </x:c>
      <x:c r="G58" s="33" t="n">
        <x:v>25</x:v>
      </x:c>
      <x:c r="H58" s="33" t="n">
        <x:v>200</x:v>
      </x:c>
      <x:c r="I58" s="25" t="str">
        <x:v>5–14 days</x:v>
      </x:c>
      <x:c r="J58" s="25" t="str">
        <x:v>14–60 days</x:v>
      </x:c>
      <x:c r="K58" s="25" t="str">
        <x:v>60–180 days</x:v>
      </x:c>
      <x:c r="L58" s="25" t="str">
        <x:v>180–365 days</x:v>
      </x:c>
      <x:c r="M58" s="31" t="n">
        <x:v>0.8</x:v>
      </x:c>
      <x:c r="N58" s="25" t="n">
        <x:v>3</x:v>
      </x:c>
      <x:c r="O58" s="25" t="n">
        <x:v>6</x:v>
      </x:c>
      <x:c r="P58" s="25" t="str">
        <x:v>Very high</x:v>
      </x:c>
      <x:c r="Q58" s="25" t="str">
        <x:v>Audience chicken-and-egg; scam jobs; existing free groups</x:v>
      </x:c>
      <x:c r="R58" s="25" t="str">
        <x:v>Partner with a relevant community before selling listings</x:v>
      </x:c>
      <x:c r="S58" s="25" t="str">
        <x:v>Employers will pay only after a candidate distribution channel exists</x:v>
      </x:c>
      <x:c r="T58" s="35" t="n">
        <x:v>3</x:v>
      </x:c>
      <x:c r="U58" s="35" t="n">
        <x:v>2</x:v>
      </x:c>
      <x:c r="V58" s="35" t="n">
        <x:v>3</x:v>
      </x:c>
      <x:c r="W58" s="35" t="n">
        <x:v>2</x:v>
      </x:c>
      <x:c r="X58" s="35" t="n">
        <x:v>4</x:v>
      </x:c>
      <x:c r="Y58" s="25" t="n">
        <x:f>(T58*Inputs!$H$5+U58*Inputs!$H$6+V58*Inputs!$H$7+W58*Inputs!$H$8+X58*Inputs!$H$9)/Inputs!$H$10*100</x:f>
        <x:v>55.00000000000001</x:v>
      </x:c>
      <x:c r="Z58" s="25" t="str">
        <x:v>E1</x:v>
      </x:c>
      <x:c r="AA58" s="25" t="str">
        <x:v>https://www.upwork.com/research/in-demand-skills-2026 | https://www.upwork.com/freelance-jobs/automation/</x:v>
      </x:c>
    </x:row>
    <x:row r="59" ht="90" customHeight="1">
      <x:c r="A59" s="25" t="str">
        <x:v>O44</x:v>
      </x:c>
      <x:c r="B59" s="25" t="n">
        <x:v>55</x:v>
      </x:c>
      <x:c r="C59" s="25" t="str">
        <x:v>Trade-event calendar sponsorship</x:v>
      </x:c>
      <x:c r="D59" s="25" t="str">
        <x:v>Information service</x:v>
      </x:c>
      <x:c r="E59" s="25" t="str">
        <x:v>Permission-based curated niche event calendar with transparent sponsor slots</x:v>
      </x:c>
      <x:c r="F59" s="25" t="str">
        <x:v>Niche event organizers and suppliers</x:v>
      </x:c>
      <x:c r="G59" s="33" t="n">
        <x:v>0</x:v>
      </x:c>
      <x:c r="H59" s="33" t="n">
        <x:v>150</x:v>
      </x:c>
      <x:c r="I59" s="25" t="str">
        <x:v>3–7 days</x:v>
      </x:c>
      <x:c r="J59" s="25" t="str">
        <x:v>14–60 days</x:v>
      </x:c>
      <x:c r="K59" s="25" t="str">
        <x:v>60–180 days</x:v>
      </x:c>
      <x:c r="L59" s="25" t="str">
        <x:v>180–365 days</x:v>
      </x:c>
      <x:c r="M59" s="31" t="n">
        <x:v>0.8</x:v>
      </x:c>
      <x:c r="N59" s="25" t="n">
        <x:v>3</x:v>
      </x:c>
      <x:c r="O59" s="25" t="n">
        <x:v>6</x:v>
      </x:c>
      <x:c r="P59" s="25" t="str">
        <x:v>High</x:v>
      </x:c>
      <x:c r="Q59" s="25" t="str">
        <x:v>Audience needed; event changes; no independently verified niche demand</x:v>
      </x:c>
      <x:c r="R59" s="25" t="str">
        <x:v>One association distribution partnership before selling sponsorship</x:v>
      </x:c>
      <x:c r="S59" s="25" t="str">
        <x:v>Show measured audience and actual engagement; no fabricated impressions</x:v>
      </x:c>
      <x:c r="T59" s="35" t="n">
        <x:v>3</x:v>
      </x:c>
      <x:c r="U59" s="35" t="n">
        <x:v>2</x:v>
      </x:c>
      <x:c r="V59" s="35" t="n">
        <x:v>3</x:v>
      </x:c>
      <x:c r="W59" s="35" t="n">
        <x:v>2</x:v>
      </x:c>
      <x:c r="X59" s="35" t="n">
        <x:v>3</x:v>
      </x:c>
      <x:c r="Y59" s="25" t="n">
        <x:f>(T59*Inputs!$H$5+U59*Inputs!$H$6+V59*Inputs!$H$7+W59*Inputs!$H$8+X59*Inputs!$H$9)/Inputs!$H$10*100</x:f>
        <x:v>53</x:v>
      </x:c>
      <x:c r="Z59" s="25" t="str">
        <x:v>E2</x:v>
      </x:c>
      <x:c r="AA59" s="25" t="str">
        <x:v>https://www.merx.com/</x:v>
      </x:c>
    </x:row>
    <x:row r="60" ht="90" customHeight="1">
      <x:c r="A60" s="25" t="str">
        <x:v>O48</x:v>
      </x:c>
      <x:c r="B60" s="25" t="n">
        <x:v>56</x:v>
      </x:c>
      <x:c r="C60" s="25" t="str">
        <x:v>Licensed niche-price dataset</x:v>
      </x:c>
      <x:c r="D60" s="25" t="str">
        <x:v>Data product</x:v>
      </x:c>
      <x:c r="E60" s="25" t="str">
        <x:v>Clean a purchased or explicitly licensed industry price dataset with update history</x:v>
      </x:c>
      <x:c r="F60" s="25" t="str">
        <x:v>Specialized business analysts</x:v>
      </x:c>
      <x:c r="G60" s="33" t="n">
        <x:v>100</x:v>
      </x:c>
      <x:c r="H60" s="33" t="n">
        <x:v>2000</x:v>
      </x:c>
      <x:c r="I60" s="25" t="str">
        <x:v>14–30 days</x:v>
      </x:c>
      <x:c r="J60" s="25" t="str">
        <x:v>21–90 days</x:v>
      </x:c>
      <x:c r="K60" s="25" t="str">
        <x:v>60–180 days</x:v>
      </x:c>
      <x:c r="L60" s="25" t="str">
        <x:v>180–365 days</x:v>
      </x:c>
      <x:c r="M60" s="31" t="n">
        <x:v>0.75</x:v>
      </x:c>
      <x:c r="N60" s="25" t="n">
        <x:v>4</x:v>
      </x:c>
      <x:c r="O60" s="25" t="n">
        <x:v>6</x:v>
      </x:c>
      <x:c r="P60" s="25" t="str">
        <x:v>Medium-high</x:v>
      </x:c>
      <x:c r="Q60" s="25" t="str">
        <x:v>Licensing can exceed budget; no verified rights or buyers; stale prices</x:v>
      </x:c>
      <x:c r="R60" s="25" t="str">
        <x:v>Pre-sell to two analysts before purchasing data rights</x:v>
      </x:c>
      <x:c r="S60" s="25" t="str">
        <x:v>No verified niche demand: hold until data rights and buyers are secured</x:v>
      </x:c>
      <x:c r="T60" s="35" t="n">
        <x:v>2</x:v>
      </x:c>
      <x:c r="U60" s="35" t="n">
        <x:v>3</x:v>
      </x:c>
      <x:c r="V60" s="35" t="n">
        <x:v>3</x:v>
      </x:c>
      <x:c r="W60" s="35" t="n">
        <x:v>2</x:v>
      </x:c>
      <x:c r="X60" s="35" t="n">
        <x:v>4</x:v>
      </x:c>
      <x:c r="Y60" s="25" t="n">
        <x:f>(T60*Inputs!$H$5+U60*Inputs!$H$6+V60*Inputs!$H$7+W60*Inputs!$H$8+X60*Inputs!$H$9)/Inputs!$H$10*100</x:f>
        <x:v>53</x:v>
      </x:c>
      <x:c r="Z60" s="25" t="str">
        <x:v>E1</x:v>
      </x:c>
      <x:c r="AA60" s="25" t="str">
        <x:v>https://www.upwork.com/research/in-demand-skills-2026 | https://visualping.io/pricing</x:v>
      </x:c>
    </x:row>
    <x:row r="61" ht="90" customHeight="1">
      <x:c r="A61" s="25" t="str">
        <x:v>O59</x:v>
      </x:c>
      <x:c r="B61" s="25" t="n">
        <x:v>57</x:v>
      </x:c>
      <x:c r="C61" s="25" t="str">
        <x:v>Original stock illustration licenses</x:v>
      </x:c>
      <x:c r="D61" s="25" t="str">
        <x:v>Licensing</x:v>
      </x:c>
      <x:c r="E61" s="25" t="str">
        <x:v>A coherent original specialist illustration set with documented rights</x:v>
      </x:c>
      <x:c r="F61" s="25" t="str">
        <x:v>Designers and publishers</x:v>
      </x:c>
      <x:c r="G61" s="33" t="n">
        <x:v>0</x:v>
      </x:c>
      <x:c r="H61" s="33" t="n">
        <x:v>150</x:v>
      </x:c>
      <x:c r="I61" s="25" t="str">
        <x:v>5–14 days</x:v>
      </x:c>
      <x:c r="J61" s="25" t="str">
        <x:v>14–90 days</x:v>
      </x:c>
      <x:c r="K61" s="25" t="str">
        <x:v>90–270 days</x:v>
      </x:c>
      <x:c r="L61" s="25" t="str">
        <x:v>180+ days</x:v>
      </x:c>
      <x:c r="M61" s="31" t="n">
        <x:v>0.95</x:v>
      </x:c>
      <x:c r="N61" s="25" t="n">
        <x:v>2</x:v>
      </x:c>
      <x:c r="O61" s="25" t="n">
        <x:v>5</x:v>
      </x:c>
      <x:c r="P61" s="25" t="str">
        <x:v>Very high</x:v>
      </x:c>
      <x:c r="Q61" s="25" t="str">
        <x:v>Low unit royalties; review policies; licensing restrictions; slow discovery</x:v>
      </x:c>
      <x:c r="R61" s="25" t="str">
        <x:v>Submit high-quality originals in a narrow commercial-use category</x:v>
      </x:c>
      <x:c r="S61" s="25" t="str">
        <x:v>Treat price as net license receipt, not full marketplace retail price; validate downloads</x:v>
      </x:c>
      <x:c r="T61" s="35" t="n">
        <x:v>2</x:v>
      </x:c>
      <x:c r="U61" s="35" t="n">
        <x:v>1</x:v>
      </x:c>
      <x:c r="V61" s="35" t="n">
        <x:v>5</x:v>
      </x:c>
      <x:c r="W61" s="35" t="n">
        <x:v>3</x:v>
      </x:c>
      <x:c r="X61" s="35" t="n">
        <x:v>4</x:v>
      </x:c>
      <x:c r="Y61" s="25" t="n">
        <x:f>(T61*Inputs!$H$5+U61*Inputs!$H$6+V61*Inputs!$H$7+W61*Inputs!$H$8+X61*Inputs!$H$9)/Inputs!$H$10*100</x:f>
        <x:v>53</x:v>
      </x:c>
      <x:c r="Z61" s="25" t="str">
        <x:v>E4</x:v>
      </x:c>
      <x:c r="AA61" s="25" t="str">
        <x:v>https://helpx.adobe.com/stock/contributor/payments-earnings/royalties-pricing/pricing-payment-guidelines.html</x:v>
      </x:c>
    </x:row>
    <x:row r="62" ht="90" customHeight="1">
      <x:c r="A62" s="25" t="str">
        <x:v>O47</x:v>
      </x:c>
      <x:c r="B62" s="25" t="n">
        <x:v>58</x:v>
      </x:c>
      <x:c r="C62" s="25" t="str">
        <x:v>Paid-tool implementation tutorials</x:v>
      </x:c>
      <x:c r="D62" s="25" t="str">
        <x:v>Affiliate</x:v>
      </x:c>
      <x:c r="E62" s="25" t="str">
        <x:v>Original tested how-to lessons with disclosed relevant affiliate referrals</x:v>
      </x:c>
      <x:c r="F62" s="25" t="str">
        <x:v>Operators already trying to implement a chosen tool</x:v>
      </x:c>
      <x:c r="G62" s="33" t="n">
        <x:v>0</x:v>
      </x:c>
      <x:c r="H62" s="33" t="n">
        <x:v>100</x:v>
      </x:c>
      <x:c r="I62" s="25" t="str">
        <x:v>3–7 days</x:v>
      </x:c>
      <x:c r="J62" s="25" t="str">
        <x:v>14–90 days</x:v>
      </x:c>
      <x:c r="K62" s="25" t="str">
        <x:v>60–180 days</x:v>
      </x:c>
      <x:c r="L62" s="25" t="str">
        <x:v>180+ days</x:v>
      </x:c>
      <x:c r="M62" s="31" t="n">
        <x:v>0.7</x:v>
      </x:c>
      <x:c r="N62" s="25" t="n">
        <x:v>3</x:v>
      </x:c>
      <x:c r="O62" s="25" t="n">
        <x:v>6</x:v>
      </x:c>
      <x:c r="P62" s="25" t="str">
        <x:v>High</x:v>
      </x:c>
      <x:c r="Q62" s="25" t="str">
        <x:v>Program eligibility; attribution delays; affiliate revenue not predictable</x:v>
      </x:c>
      <x:c r="R62" s="25" t="str">
        <x:v>Answers to existing implementation questions with permitted disclosure</x:v>
      </x:c>
      <x:c r="S62" s="25" t="str">
        <x:v>Publish only on tools genuinely tested; verify program approval first</x:v>
      </x:c>
      <x:c r="T62" s="35" t="n">
        <x:v>2</x:v>
      </x:c>
      <x:c r="U62" s="35" t="n">
        <x:v>2</x:v>
      </x:c>
      <x:c r="V62" s="35" t="n">
        <x:v>3</x:v>
      </x:c>
      <x:c r="W62" s="35" t="n">
        <x:v>3</x:v>
      </x:c>
      <x:c r="X62" s="35" t="n">
        <x:v>4</x:v>
      </x:c>
      <x:c r="Y62" s="25" t="n">
        <x:f>(T62*Inputs!$H$5+U62*Inputs!$H$6+V62*Inputs!$H$7+W62*Inputs!$H$8+X62*Inputs!$H$9)/Inputs!$H$10*100</x:f>
        <x:v>50</x:v>
      </x:c>
      <x:c r="Z62" s="25" t="str">
        <x:v>E4</x:v>
      </x:c>
      <x:c r="AA62" s="25" t="str">
        <x:v>https://www.hubspot.com/partners/affiliates | https://www.make.com/pricing</x:v>
      </x:c>
    </x:row>
    <x:row r="63" ht="90" customHeight="1">
      <x:c r="A63" s="25" t="str">
        <x:v>O57</x:v>
      </x:c>
      <x:c r="B63" s="25" t="n">
        <x:v>59</x:v>
      </x:c>
      <x:c r="C63" s="25" t="str">
        <x:v>Original niche-pattern merchandise</x:v>
      </x:c>
      <x:c r="D63" s="25" t="str">
        <x:v>Print on demand</x:v>
      </x:c>
      <x:c r="E63" s="25" t="str">
        <x:v>Original artwork on a small coherent set of products, with ordered quality samples</x:v>
      </x:c>
      <x:c r="F63" s="25" t="str">
        <x:v>Buyers in a narrow hobby or design niche</x:v>
      </x:c>
      <x:c r="G63" s="33" t="n">
        <x:v>50</x:v>
      </x:c>
      <x:c r="H63" s="33" t="n">
        <x:v>250</x:v>
      </x:c>
      <x:c r="I63" s="25" t="str">
        <x:v>3–7 days</x:v>
      </x:c>
      <x:c r="J63" s="25" t="str">
        <x:v>7–45 days</x:v>
      </x:c>
      <x:c r="K63" s="25" t="str">
        <x:v>45–180 days</x:v>
      </x:c>
      <x:c r="L63" s="25" t="str">
        <x:v>180+ days</x:v>
      </x:c>
      <x:c r="M63" s="31" t="n">
        <x:v>0.8</x:v>
      </x:c>
      <x:c r="N63" s="25" t="n">
        <x:v>3</x:v>
      </x:c>
      <x:c r="O63" s="25" t="n">
        <x:v>6</x:v>
      </x:c>
      <x:c r="P63" s="25" t="str">
        <x:v>Very high</x:v>
      </x:c>
      <x:c r="Q63" s="25" t="str">
        <x:v>Fulfillment/shipping eat margin; returns; art rights; no organic audience</x:v>
      </x:c>
      <x:c r="R63" s="25" t="str">
        <x:v>Niche demand test and truthful product mockups; never upload mass generic designs</x:v>
      </x:c>
      <x:c r="S63" s="25" t="str">
        <x:v>Order a sample and calculate shipping/returns before any advertising</x:v>
      </x:c>
      <x:c r="T63" s="35" t="n">
        <x:v>3</x:v>
      </x:c>
      <x:c r="U63" s="35" t="n">
        <x:v>1</x:v>
      </x:c>
      <x:c r="V63" s="35" t="n">
        <x:v>3</x:v>
      </x:c>
      <x:c r="W63" s="35" t="n">
        <x:v>2</x:v>
      </x:c>
      <x:c r="X63" s="35" t="n">
        <x:v>4</x:v>
      </x:c>
      <x:c r="Y63" s="25" t="n">
        <x:f>(T63*Inputs!$H$5+U63*Inputs!$H$6+V63*Inputs!$H$7+W63*Inputs!$H$8+X63*Inputs!$H$9)/Inputs!$H$10*100</x:f>
        <x:v>50</x:v>
      </x:c>
      <x:c r="Z63" s="25" t="str">
        <x:v>E4</x:v>
      </x:c>
      <x:c r="AA63" s="25" t="str">
        <x:v>https://www.printful.com/pricing | https://www.etsy.com/legal/fees/ | https://www.etsy.com/legal/creativity/</x:v>
      </x:c>
    </x:row>
    <x:row r="64" ht="90" customHeight="1">
      <x:c r="A64" s="25" t="str">
        <x:v>O46</x:v>
      </x:c>
      <x:c r="B64" s="25" t="n">
        <x:v>60</x:v>
      </x:c>
      <x:c r="C64" s="25" t="str">
        <x:v>Specialized software comparison site</x:v>
      </x:c>
      <x:c r="D64" s="25" t="str">
        <x:v>Affiliate</x:v>
      </x:c>
      <x:c r="E64" s="25" t="str">
        <x:v>Original hands-on tests and disclosed affiliate links for one buyer workflow</x:v>
      </x:c>
      <x:c r="F64" s="25" t="str">
        <x:v>Buyers comparing business software</x:v>
      </x:c>
      <x:c r="G64" s="33" t="n">
        <x:v>0</x:v>
      </x:c>
      <x:c r="H64" s="33" t="n">
        <x:v>200</x:v>
      </x:c>
      <x:c r="I64" s="25" t="str">
        <x:v>5–14 days</x:v>
      </x:c>
      <x:c r="J64" s="25" t="str">
        <x:v>30–180 days</x:v>
      </x:c>
      <x:c r="K64" s="25" t="str">
        <x:v>90–365 days</x:v>
      </x:c>
      <x:c r="L64" s="25" t="str">
        <x:v>180+ days</x:v>
      </x:c>
      <x:c r="M64" s="31" t="n">
        <x:v>0.7</x:v>
      </x:c>
      <x:c r="N64" s="25" t="n">
        <x:v>3</x:v>
      </x:c>
      <x:c r="O64" s="25" t="n">
        <x:v>7</x:v>
      </x:c>
      <x:c r="P64" s="25" t="str">
        <x:v>Very high</x:v>
      </x:c>
      <x:c r="Q64" s="25" t="str">
        <x:v>SEO lag; commission changes; no audience; approval and clawbacks</x:v>
      </x:c>
      <x:c r="R64" s="25" t="str">
        <x:v>Original comparison useful to service customers; no mass-generated SEO pages</x:v>
      </x:c>
      <x:c r="S64" s="25" t="str">
        <x:v>Treat as a later distribution asset, not a first-month cash plan</x:v>
      </x:c>
      <x:c r="T64" s="35" t="n">
        <x:v>1</x:v>
      </x:c>
      <x:c r="U64" s="35" t="n">
        <x:v>3</x:v>
      </x:c>
      <x:c r="V64" s="35" t="n">
        <x:v>3</x:v>
      </x:c>
      <x:c r="W64" s="35" t="n">
        <x:v>3</x:v>
      </x:c>
      <x:c r="X64" s="35" t="n">
        <x:v>4</x:v>
      </x:c>
      <x:c r="Y64" s="25" t="n">
        <x:f>(T64*Inputs!$H$5+U64*Inputs!$H$6+V64*Inputs!$H$7+W64*Inputs!$H$8+X64*Inputs!$H$9)/Inputs!$H$10*100</x:f>
        <x:v>48</x:v>
      </x:c>
      <x:c r="Z64" s="25" t="str">
        <x:v>E4</x:v>
      </x:c>
      <x:c r="AA64" s="25" t="str">
        <x:v>https://www.hubspot.com/partners/affiliates</x:v>
      </x:c>
    </x:row>
  </x:sheetData>
  <x:mergeCells>
    <x:mergeCell ref="A1:H1"/>
    <x:mergeCell ref="A2:H2"/>
  </x:mergeCells>
  <x:conditionalFormatting sqref="Y5:Y64">
    <x:cfRule type="dataBar" priority="1">
      <x:dataBar>
        <x:cfvo type="min"/>
        <x:cfvo type="max"/>
        <x:color rgb="FF087E8B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f0906120834f66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40" hidden="0" customWidth="1"/>
  </x:cols>
  <x:sheetData>
    <x:row r="1" ht="32" customHeight="1">
      <x:c r="A1" s="3" t="str">
        <x:v>UNIT ECONOMICS — DEMAND IS AN INPUT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*M3 is a conservative ACTIVE-business illustration, not a pessimistic forecast. M12 is a conditional upside capacity test; do not add all rows.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ID</x:v>
      </x:c>
      <x:c r="B4" s="28" t="str">
        <x:v>Business</x:v>
      </x:c>
      <x:c r="C4" s="28" t="str">
        <x:v>Unit price / receipt (CAD)</x:v>
      </x:c>
      <x:c r="D4" s="28" t="str">
        <x:v>M3 units*</x:v>
      </x:c>
      <x:c r="E4" s="28" t="str">
        <x:v>M12 upside units*</x:v>
      </x:c>
      <x:c r="F4" s="28" t="str">
        <x:v>Fee %</x:v>
      </x:c>
      <x:c r="G4" s="28" t="str">
        <x:v>Fee/transaction</x:v>
      </x:c>
      <x:c r="H4" s="28" t="str">
        <x:v>Refund reserve %</x:v>
      </x:c>
      <x:c r="I4" s="28" t="str">
        <x:v>Delivery cost/unit</x:v>
      </x:c>
      <x:c r="J4" s="28" t="str">
        <x:v>Fixed/month</x:v>
      </x:c>
      <x:c r="K4" s="28" t="str">
        <x:v>Acquisition/month</x:v>
      </x:c>
      <x:c r="L4" s="28" t="str">
        <x:v>M12 extra overhead %</x:v>
      </x:c>
      <x:c r="M4" s="28" t="str">
        <x:v>M3 revenue</x:v>
      </x:c>
      <x:c r="N4" s="28" t="str">
        <x:v>M3 costs</x:v>
      </x:c>
      <x:c r="O4" s="28" t="str">
        <x:v>M3 operating profit*</x:v>
      </x:c>
      <x:c r="P4" s="28" t="str">
        <x:v>No-sales monthly loss*</x:v>
      </x:c>
      <x:c r="Q4" s="28" t="str">
        <x:v>M12 revenue</x:v>
      </x:c>
      <x:c r="R4" s="28" t="str">
        <x:v>M12 costs</x:v>
      </x:c>
      <x:c r="S4" s="28" t="str">
        <x:v>M12 upside profit*</x:v>
      </x:c>
      <x:c r="T4" s="28" t="str">
        <x:v>Ops h/week</x:v>
      </x:c>
      <x:c r="U4" s="28" t="str">
        <x:v>Sales h/week</x:v>
      </x:c>
      <x:c r="V4" s="28" t="str">
        <x:v>M3 profit/owner hour*</x:v>
      </x:c>
      <x:c r="W4" s="28" t="str">
        <x:v>Interpretation</x:v>
      </x:c>
    </x:row>
    <x:row r="5" ht="72" customHeight="1">
      <x:c r="A5" s="25" t="str">
        <x:v>O01</x:v>
      </x:c>
      <x:c r="B5" s="25" t="str">
        <x:v>Recurring-report automation sprint</x:v>
      </x:c>
      <x:c r="C5" s="37" t="n">
        <x:v>699</x:v>
      </x:c>
      <x:c r="D5" s="35" t="n">
        <x:v>2</x:v>
      </x:c>
      <x:c r="E5" s="35" t="n">
        <x:v>8</x:v>
      </x:c>
      <x:c r="F5" s="39" t="n">
        <x:v>0.1</x:v>
      </x:c>
      <x:c r="G5" s="35" t="n">
        <x:v>0.3</x:v>
      </x:c>
      <x:c r="H5" s="39" t="n">
        <x:v>0.03</x:v>
      </x:c>
      <x:c r="I5" s="35" t="n">
        <x:v>10</x:v>
      </x:c>
      <x:c r="J5" s="35" t="n">
        <x:v>50</x:v>
      </x:c>
      <x:c r="K5" s="35" t="n">
        <x:v>60</x:v>
      </x:c>
      <x:c r="L5" s="39" t="n">
        <x:v>0.15</x:v>
      </x:c>
      <x:c r="M5" s="33" t="n">
        <x:f>C5*D5</x:f>
        <x:v>1398</x:v>
      </x:c>
      <x:c r="N5" s="33" t="n">
        <x:f>M5*(F5+H5)+D5*(G5+I5)+J5+K5</x:f>
        <x:v>312.34000000000003</x:v>
      </x:c>
      <x:c r="O5" s="33" t="n">
        <x:f>M5-N5</x:f>
        <x:v>1085.6599999999999</x:v>
      </x:c>
      <x:c r="P5" s="33" t="n">
        <x:f>-J5-K5</x:f>
        <x:v>-110</x:v>
      </x:c>
      <x:c r="Q5" s="33" t="n">
        <x:f>C5*E5</x:f>
        <x:v>5592</x:v>
      </x:c>
      <x:c r="R5" s="33" t="n">
        <x:f>Q5*(F5+H5+L5)+E5*(G5+I5)+J5+K5*3</x:f>
        <x:v>1878.1600000000003</x:v>
      </x:c>
      <x:c r="S5" s="33" t="n">
        <x:f>Q5-R5</x:f>
        <x:v>3713.8399999999997</x:v>
      </x:c>
      <x:c r="T5" s="25" t="n">
        <x:v>3</x:v>
      </x:c>
      <x:c r="U5" s="25" t="n">
        <x:v>5</x:v>
      </x:c>
      <x:c r="V5" s="33" t="n">
        <x:f>IFERROR(O5/((T5+U5)*52/12),0)</x:f>
        <x:v>31.317115384615384</x:v>
      </x:c>
      <x:c r="W5" s="25" t="str">
        <x:v>Editable hypothetical demand; not measured earnings. M12 adds overhead + triples acquisition spend. No owner wage/income tax.</x:v>
      </x:c>
    </x:row>
    <x:row r="6" ht="72" customHeight="1">
      <x:c r="A6" s="25" t="str">
        <x:v>O02</x:v>
      </x:c>
      <x:c r="B6" s="25" t="str">
        <x:v>Supplier catalog cleanup</x:v>
      </x:c>
      <x:c r="C6" s="37" t="n">
        <x:v>499</x:v>
      </x:c>
      <x:c r="D6" s="35" t="n">
        <x:v>3</x:v>
      </x:c>
      <x:c r="E6" s="35" t="n">
        <x:v>10</x:v>
      </x:c>
      <x:c r="F6" s="39" t="n">
        <x:v>0.1</x:v>
      </x:c>
      <x:c r="G6" s="35" t="n">
        <x:v>0.3</x:v>
      </x:c>
      <x:c r="H6" s="39" t="n">
        <x:v>0.03</x:v>
      </x:c>
      <x:c r="I6" s="35" t="n">
        <x:v>12</x:v>
      </x:c>
      <x:c r="J6" s="35" t="n">
        <x:v>45</x:v>
      </x:c>
      <x:c r="K6" s="35" t="n">
        <x:v>60</x:v>
      </x:c>
      <x:c r="L6" s="39" t="n">
        <x:v>0.15</x:v>
      </x:c>
      <x:c r="M6" s="33" t="n">
        <x:f>C6*D6</x:f>
        <x:v>1497</x:v>
      </x:c>
      <x:c r="N6" s="33" t="n">
        <x:f>M6*(F6+H6)+D6*(G6+I6)+J6+K6</x:f>
        <x:v>336.51</x:v>
      </x:c>
      <x:c r="O6" s="33" t="n">
        <x:f>M6-N6</x:f>
        <x:v>1160.49</x:v>
      </x:c>
      <x:c r="P6" s="33" t="n">
        <x:f>-J6-K6</x:f>
        <x:v>-105</x:v>
      </x:c>
      <x:c r="Q6" s="33" t="n">
        <x:f>C6*E6</x:f>
        <x:v>4990</x:v>
      </x:c>
      <x:c r="R6" s="33" t="n">
        <x:f>Q6*(F6+H6+L6)+E6*(G6+I6)+J6+K6*3</x:f>
        <x:v>1745.2</x:v>
      </x:c>
      <x:c r="S6" s="33" t="n">
        <x:f>Q6-R6</x:f>
        <x:v>3244.8</x:v>
      </x:c>
      <x:c r="T6" s="25" t="n">
        <x:v>4</x:v>
      </x:c>
      <x:c r="U6" s="25" t="n">
        <x:v>4</x:v>
      </x:c>
      <x:c r="V6" s="33" t="n">
        <x:f>IFERROR(O6/((T6+U6)*52/12),0)</x:f>
        <x:v>33.47567307692308</x:v>
      </x:c>
      <x:c r="W6" s="25" t="str">
        <x:v>Editable hypothetical demand; not measured earnings. M12 adds overhead + triples acquisition spend. No owner wage/income tax.</x:v>
      </x:c>
    </x:row>
    <x:row r="7" ht="72" customHeight="1">
      <x:c r="A7" s="25" t="str">
        <x:v>O03</x:v>
      </x:c>
      <x:c r="B7" s="25" t="str">
        <x:v>Agency form-path monitoring</x:v>
      </x:c>
      <x:c r="C7" s="37" t="n">
        <x:v>79</x:v>
      </x:c>
      <x:c r="D7" s="35" t="n">
        <x:v>8</x:v>
      </x:c>
      <x:c r="E7" s="35" t="n">
        <x:v>80</x:v>
      </x:c>
      <x:c r="F7" s="39" t="n">
        <x:v>0.05</x:v>
      </x:c>
      <x:c r="G7" s="35" t="n">
        <x:v>0.75</x:v>
      </x:c>
      <x:c r="H7" s="39" t="n">
        <x:v>0.03</x:v>
      </x:c>
      <x:c r="I7" s="35" t="n">
        <x:v>10</x:v>
      </x:c>
      <x:c r="J7" s="35" t="n">
        <x:v>50</x:v>
      </x:c>
      <x:c r="K7" s="35" t="n">
        <x:v>75</x:v>
      </x:c>
      <x:c r="L7" s="39" t="n">
        <x:v>0.15</x:v>
      </x:c>
      <x:c r="M7" s="33" t="n">
        <x:f>C7*D7</x:f>
        <x:v>632</x:v>
      </x:c>
      <x:c r="N7" s="33" t="n">
        <x:f>M7*(F7+H7)+D7*(G7+I7)+J7+K7</x:f>
        <x:v>261.56</x:v>
      </x:c>
      <x:c r="O7" s="33" t="n">
        <x:f>M7-N7</x:f>
        <x:v>370.44</x:v>
      </x:c>
      <x:c r="P7" s="33" t="n">
        <x:f>-J7-K7</x:f>
        <x:v>-125</x:v>
      </x:c>
      <x:c r="Q7" s="33" t="n">
        <x:f>C7*E7</x:f>
        <x:v>6320</x:v>
      </x:c>
      <x:c r="R7" s="33" t="n">
        <x:f>Q7*(F7+H7+L7)+E7*(G7+I7)+J7+K7*3</x:f>
        <x:v>2588.6</x:v>
      </x:c>
      <x:c r="S7" s="33" t="n">
        <x:f>Q7-R7</x:f>
        <x:v>3731.4</x:v>
      </x:c>
      <x:c r="T7" s="25" t="n">
        <x:v>2</x:v>
      </x:c>
      <x:c r="U7" s="25" t="n">
        <x:v>4</x:v>
      </x:c>
      <x:c r="V7" s="33" t="n">
        <x:f>IFERROR(O7/((T7+U7)*52/12),0)</x:f>
        <x:v>14.247692307692308</x:v>
      </x:c>
      <x:c r="W7" s="25" t="str">
        <x:v>Editable hypothetical demand; not measured earnings. M12 adds overhead + triples acquisition spend. No owner wage/income tax.</x:v>
      </x:c>
    </x:row>
    <x:row r="8" ht="72" customHeight="1">
      <x:c r="A8" s="25" t="str">
        <x:v>O04</x:v>
      </x:c>
      <x:c r="B8" s="25" t="str">
        <x:v>Purchase-order PDF to validated CSV</x:v>
      </x:c>
      <x:c r="C8" s="37" t="n">
        <x:v>699</x:v>
      </x:c>
      <x:c r="D8" s="35" t="n">
        <x:v>2</x:v>
      </x:c>
      <x:c r="E8" s="35" t="n">
        <x:v>8</x:v>
      </x:c>
      <x:c r="F8" s="39" t="n">
        <x:v>0.1</x:v>
      </x:c>
      <x:c r="G8" s="35" t="n">
        <x:v>0.3</x:v>
      </x:c>
      <x:c r="H8" s="39" t="n">
        <x:v>0.03</x:v>
      </x:c>
      <x:c r="I8" s="35" t="n">
        <x:v>25</x:v>
      </x:c>
      <x:c r="J8" s="35" t="n">
        <x:v>65</x:v>
      </x:c>
      <x:c r="K8" s="35" t="n">
        <x:v>70</x:v>
      </x:c>
      <x:c r="L8" s="39" t="n">
        <x:v>0.15</x:v>
      </x:c>
      <x:c r="M8" s="33" t="n">
        <x:f>C8*D8</x:f>
        <x:v>1398</x:v>
      </x:c>
      <x:c r="N8" s="33" t="n">
        <x:f>M8*(F8+H8)+D8*(G8+I8)+J8+K8</x:f>
        <x:v>367.34000000000003</x:v>
      </x:c>
      <x:c r="O8" s="33" t="n">
        <x:f>M8-N8</x:f>
        <x:v>1030.6599999999999</x:v>
      </x:c>
      <x:c r="P8" s="33" t="n">
        <x:f>-J8-K8</x:f>
        <x:v>-135</x:v>
      </x:c>
      <x:c r="Q8" s="33" t="n">
        <x:f>C8*E8</x:f>
        <x:v>5592</x:v>
      </x:c>
      <x:c r="R8" s="33" t="n">
        <x:f>Q8*(F8+H8+L8)+E8*(G8+I8)+J8+K8*3</x:f>
        <x:v>2043.1600000000003</x:v>
      </x:c>
      <x:c r="S8" s="33" t="n">
        <x:f>Q8-R8</x:f>
        <x:v>3548.8399999999997</x:v>
      </x:c>
      <x:c r="T8" s="25" t="n">
        <x:v>4</x:v>
      </x:c>
      <x:c r="U8" s="25" t="n">
        <x:v>5</x:v>
      </x:c>
      <x:c r="V8" s="33" t="n">
        <x:f>IFERROR(O8/((T8+U8)*52/12),0)</x:f>
        <x:v>26.427179487179483</x:v>
      </x:c>
      <x:c r="W8" s="25" t="str">
        <x:v>Editable hypothetical demand; not measured earnings. M12 adds overhead + triples acquisition spend. No owner wage/income tax.</x:v>
      </x:c>
    </x:row>
    <x:row r="9" ht="72" customHeight="1">
      <x:c r="A9" s="25" t="str">
        <x:v>O05</x:v>
      </x:c>
      <x:c r="B9" s="25" t="str">
        <x:v>Licensed report-automation toolkit</x:v>
      </x:c>
      <x:c r="C9" s="37" t="n">
        <x:v>49</x:v>
      </x:c>
      <x:c r="D9" s="35" t="n">
        <x:v>10</x:v>
      </x:c>
      <x:c r="E9" s="35" t="n">
        <x:v>100</x:v>
      </x:c>
      <x:c r="F9" s="39" t="n">
        <x:v>0.15</x:v>
      </x:c>
      <x:c r="G9" s="35" t="n">
        <x:v>0.75</x:v>
      </x:c>
      <x:c r="H9" s="39" t="n">
        <x:v>0.03</x:v>
      </x:c>
      <x:c r="I9" s="35" t="n">
        <x:v>1</x:v>
      </x:c>
      <x:c r="J9" s="35" t="n">
        <x:v>15</x:v>
      </x:c>
      <x:c r="K9" s="35" t="n">
        <x:v>40</x:v>
      </x:c>
      <x:c r="L9" s="39" t="n">
        <x:v>0.15</x:v>
      </x:c>
      <x:c r="M9" s="33" t="n">
        <x:f>C9*D9</x:f>
        <x:v>490</x:v>
      </x:c>
      <x:c r="N9" s="33" t="n">
        <x:f>M9*(F9+H9)+D9*(G9+I9)+J9+K9</x:f>
        <x:v>160.7</x:v>
      </x:c>
      <x:c r="O9" s="33" t="n">
        <x:f>M9-N9</x:f>
        <x:v>329.3</x:v>
      </x:c>
      <x:c r="P9" s="33" t="n">
        <x:f>-J9-K9</x:f>
        <x:v>-55</x:v>
      </x:c>
      <x:c r="Q9" s="33" t="n">
        <x:f>C9*E9</x:f>
        <x:v>4900</x:v>
      </x:c>
      <x:c r="R9" s="33" t="n">
        <x:f>Q9*(F9+H9+L9)+E9*(G9+I9)+J9+K9*3</x:f>
        <x:v>1926.9999999999998</x:v>
      </x:c>
      <x:c r="S9" s="33" t="n">
        <x:f>Q9-R9</x:f>
        <x:v>2973</x:v>
      </x:c>
      <x:c r="T9" s="25" t="n">
        <x:v>1</x:v>
      </x:c>
      <x:c r="U9" s="25" t="n">
        <x:v>3</x:v>
      </x:c>
      <x:c r="V9" s="33" t="n">
        <x:f>IFERROR(O9/((T9+U9)*52/12),0)</x:f>
        <x:v>18.998076923076926</x:v>
      </x:c>
      <x:c r="W9" s="25" t="str">
        <x:v>Editable hypothetical demand; not measured earnings. M12 adds overhead + triples acquisition spend. No owner wage/income tax.</x:v>
      </x:c>
    </x:row>
    <x:row r="10" ht="72" customHeight="1">
      <x:c r="A10" s="25" t="str">
        <x:v>O06</x:v>
      </x:c>
      <x:c r="B10" s="25" t="str">
        <x:v>Broken webhook/integration repair</x:v>
      </x:c>
      <x:c r="C10" s="37" t="n">
        <x:v>399</x:v>
      </x:c>
      <x:c r="D10" s="35" t="n">
        <x:v>3</x:v>
      </x:c>
      <x:c r="E10" s="35" t="n">
        <x:v>10</x:v>
      </x:c>
      <x:c r="F10" s="39" t="n">
        <x:v>0.1</x:v>
      </x:c>
      <x:c r="G10" s="35" t="n">
        <x:v>0.3</x:v>
      </x:c>
      <x:c r="H10" s="39" t="n">
        <x:v>0.03</x:v>
      </x:c>
      <x:c r="I10" s="35" t="n">
        <x:v>10</x:v>
      </x:c>
      <x:c r="J10" s="35" t="n">
        <x:v>35</x:v>
      </x:c>
      <x:c r="K10" s="35" t="n">
        <x:v>70</x:v>
      </x:c>
      <x:c r="L10" s="39" t="n">
        <x:v>0.15</x:v>
      </x:c>
      <x:c r="M10" s="33" t="n">
        <x:f>C10*D10</x:f>
        <x:v>1197</x:v>
      </x:c>
      <x:c r="N10" s="33" t="n">
        <x:f>M10*(F10+H10)+D10*(G10+I10)+J10+K10</x:f>
        <x:v>291.51</x:v>
      </x:c>
      <x:c r="O10" s="33" t="n">
        <x:f>M10-N10</x:f>
        <x:v>905.49</x:v>
      </x:c>
      <x:c r="P10" s="33" t="n">
        <x:f>-J10-K10</x:f>
        <x:v>-105</x:v>
      </x:c>
      <x:c r="Q10" s="33" t="n">
        <x:f>C10*E10</x:f>
        <x:v>3990</x:v>
      </x:c>
      <x:c r="R10" s="33" t="n">
        <x:f>Q10*(F10+H10+L10)+E10*(G10+I10)+J10+K10*3</x:f>
        <x:v>1465.2</x:v>
      </x:c>
      <x:c r="S10" s="33" t="n">
        <x:f>Q10-R10</x:f>
        <x:v>2524.8</x:v>
      </x:c>
      <x:c r="T10" s="25" t="n">
        <x:v>4</x:v>
      </x:c>
      <x:c r="U10" s="25" t="n">
        <x:v>5</x:v>
      </x:c>
      <x:c r="V10" s="33" t="n">
        <x:f>IFERROR(O10/((T10+U10)*52/12),0)</x:f>
        <x:v>23.217692307692307</x:v>
      </x:c>
      <x:c r="W10" s="25" t="str">
        <x:v>Editable hypothetical demand; not measured earnings. M12 adds overhead + triples acquisition spend. No owner wage/income tax.</x:v>
      </x:c>
    </x:row>
    <x:row r="11" ht="72" customHeight="1">
      <x:c r="A11" s="25" t="str">
        <x:v>O07</x:v>
      </x:c>
      <x:c r="B11" s="25" t="str">
        <x:v>Spreadsheet refresh/repair</x:v>
      </x:c>
      <x:c r="C11" s="37" t="n">
        <x:v>349</x:v>
      </x:c>
      <x:c r="D11" s="35" t="n">
        <x:v>3</x:v>
      </x:c>
      <x:c r="E11" s="35" t="n">
        <x:v>10</x:v>
      </x:c>
      <x:c r="F11" s="39" t="n">
        <x:v>0.1</x:v>
      </x:c>
      <x:c r="G11" s="35" t="n">
        <x:v>0.3</x:v>
      </x:c>
      <x:c r="H11" s="39" t="n">
        <x:v>0.03</x:v>
      </x:c>
      <x:c r="I11" s="35" t="n">
        <x:v>8</x:v>
      </x:c>
      <x:c r="J11" s="35" t="n">
        <x:v>25</x:v>
      </x:c>
      <x:c r="K11" s="35" t="n">
        <x:v>60</x:v>
      </x:c>
      <x:c r="L11" s="39" t="n">
        <x:v>0.15</x:v>
      </x:c>
      <x:c r="M11" s="33" t="n">
        <x:f>C11*D11</x:f>
        <x:v>1047</x:v>
      </x:c>
      <x:c r="N11" s="33" t="n">
        <x:f>M11*(F11+H11)+D11*(G11+I11)+J11+K11</x:f>
        <x:v>246.01000000000002</x:v>
      </x:c>
      <x:c r="O11" s="33" t="n">
        <x:f>M11-N11</x:f>
        <x:v>800.99</x:v>
      </x:c>
      <x:c r="P11" s="33" t="n">
        <x:f>-J11-K11</x:f>
        <x:v>-85</x:v>
      </x:c>
      <x:c r="Q11" s="33" t="n">
        <x:f>C11*E11</x:f>
        <x:v>3490</x:v>
      </x:c>
      <x:c r="R11" s="33" t="n">
        <x:f>Q11*(F11+H11+L11)+E11*(G11+I11)+J11+K11*3</x:f>
        <x:v>1265.2</x:v>
      </x:c>
      <x:c r="S11" s="33" t="n">
        <x:f>Q11-R11</x:f>
        <x:v>2224.8</x:v>
      </x:c>
      <x:c r="T11" s="25" t="n">
        <x:v>4</x:v>
      </x:c>
      <x:c r="U11" s="25" t="n">
        <x:v>5</x:v>
      </x:c>
      <x:c r="V11" s="33" t="n">
        <x:f>IFERROR(O11/((T11+U11)*52/12),0)</x:f>
        <x:v>20.538205128205128</x:v>
      </x:c>
      <x:c r="W11" s="25" t="str">
        <x:v>Editable hypothetical demand; not measured earnings. M12 adds overhead + triples acquisition spend. No owner wage/income tax.</x:v>
      </x:c>
    </x:row>
    <x:row r="12" ht="72" customHeight="1">
      <x:c r="A12" s="25" t="str">
        <x:v>O08</x:v>
      </x:c>
      <x:c r="B12" s="25" t="str">
        <x:v>CRM duplicate-cleanup sprint</x:v>
      </x:c>
      <x:c r="C12" s="37" t="n">
        <x:v>499</x:v>
      </x:c>
      <x:c r="D12" s="35" t="n">
        <x:v>2</x:v>
      </x:c>
      <x:c r="E12" s="35" t="n">
        <x:v>8</x:v>
      </x:c>
      <x:c r="F12" s="39" t="n">
        <x:v>0.1</x:v>
      </x:c>
      <x:c r="G12" s="35" t="n">
        <x:v>0.3</x:v>
      </x:c>
      <x:c r="H12" s="39" t="n">
        <x:v>0.03</x:v>
      </x:c>
      <x:c r="I12" s="35" t="n">
        <x:v>15</x:v>
      </x:c>
      <x:c r="J12" s="35" t="n">
        <x:v>45</x:v>
      </x:c>
      <x:c r="K12" s="35" t="n">
        <x:v>70</x:v>
      </x:c>
      <x:c r="L12" s="39" t="n">
        <x:v>0.15</x:v>
      </x:c>
      <x:c r="M12" s="33" t="n">
        <x:f>C12*D12</x:f>
        <x:v>998</x:v>
      </x:c>
      <x:c r="N12" s="33" t="n">
        <x:f>M12*(F12+H12)+D12*(G12+I12)+J12+K12</x:f>
        <x:v>275.34000000000003</x:v>
      </x:c>
      <x:c r="O12" s="33" t="n">
        <x:f>M12-N12</x:f>
        <x:v>722.66</x:v>
      </x:c>
      <x:c r="P12" s="33" t="n">
        <x:f>-J12-K12</x:f>
        <x:v>-115</x:v>
      </x:c>
      <x:c r="Q12" s="33" t="n">
        <x:f>C12*E12</x:f>
        <x:v>3992</x:v>
      </x:c>
      <x:c r="R12" s="33" t="n">
        <x:f>Q12*(F12+H12+L12)+E12*(G12+I12)+J12+K12*3</x:f>
        <x:v>1495.1600000000003</x:v>
      </x:c>
      <x:c r="S12" s="33" t="n">
        <x:f>Q12-R12</x:f>
        <x:v>2496.8399999999997</x:v>
      </x:c>
      <x:c r="T12" s="25" t="n">
        <x:v>4</x:v>
      </x:c>
      <x:c r="U12" s="25" t="n">
        <x:v>4</x:v>
      </x:c>
      <x:c r="V12" s="33" t="n">
        <x:f>IFERROR(O12/((T12+U12)*52/12),0)</x:f>
        <x:v>20.845961538461538</x:v>
      </x:c>
      <x:c r="W12" s="25" t="str">
        <x:v>Editable hypothetical demand; not measured earnings. M12 adds overhead + triples acquisition spend. No owner wage/income tax.</x:v>
      </x:c>
    </x:row>
    <x:row r="13" ht="72" customHeight="1">
      <x:c r="A13" s="25" t="str">
        <x:v>O11</x:v>
      </x:c>
      <x:c r="B13" s="25" t="str">
        <x:v>Authorized export/API connector</x:v>
      </x:c>
      <x:c r="C13" s="37" t="n">
        <x:v>699</x:v>
      </x:c>
      <x:c r="D13" s="35" t="n">
        <x:v>2</x:v>
      </x:c>
      <x:c r="E13" s="35" t="n">
        <x:v>8</x:v>
      </x:c>
      <x:c r="F13" s="39" t="n">
        <x:v>0.1</x:v>
      </x:c>
      <x:c r="G13" s="35" t="n">
        <x:v>0.3</x:v>
      </x:c>
      <x:c r="H13" s="39" t="n">
        <x:v>0.03</x:v>
      </x:c>
      <x:c r="I13" s="35" t="n">
        <x:v>20</x:v>
      </x:c>
      <x:c r="J13" s="35" t="n">
        <x:v>50</x:v>
      </x:c>
      <x:c r="K13" s="35" t="n">
        <x:v>80</x:v>
      </x:c>
      <x:c r="L13" s="39" t="n">
        <x:v>0.15</x:v>
      </x:c>
      <x:c r="M13" s="33" t="n">
        <x:f>C13*D13</x:f>
        <x:v>1398</x:v>
      </x:c>
      <x:c r="N13" s="33" t="n">
        <x:f>M13*(F13+H13)+D13*(G13+I13)+J13+K13</x:f>
        <x:v>352.34000000000003</x:v>
      </x:c>
      <x:c r="O13" s="33" t="n">
        <x:f>M13-N13</x:f>
        <x:v>1045.6599999999999</x:v>
      </x:c>
      <x:c r="P13" s="33" t="n">
        <x:f>-J13-K13</x:f>
        <x:v>-130</x:v>
      </x:c>
      <x:c r="Q13" s="33" t="n">
        <x:f>C13*E13</x:f>
        <x:v>5592</x:v>
      </x:c>
      <x:c r="R13" s="33" t="n">
        <x:f>Q13*(F13+H13+L13)+E13*(G13+I13)+J13+K13*3</x:f>
        <x:v>2018.1600000000003</x:v>
      </x:c>
      <x:c r="S13" s="33" t="n">
        <x:f>Q13-R13</x:f>
        <x:v>3573.8399999999997</x:v>
      </x:c>
      <x:c r="T13" s="25" t="n">
        <x:v>4</x:v>
      </x:c>
      <x:c r="U13" s="25" t="n">
        <x:v>5</x:v>
      </x:c>
      <x:c r="V13" s="33" t="n">
        <x:f>IFERROR(O13/((T13+U13)*52/12),0)</x:f>
        <x:v>26.811794871794866</x:v>
      </x:c>
      <x:c r="W13" s="25" t="str">
        <x:v>Editable hypothetical demand; not measured earnings. M12 adds overhead + triples acquisition spend. No owner wage/income tax.</x:v>
      </x:c>
    </x:row>
    <x:row r="14" ht="72" customHeight="1">
      <x:c r="A14" s="25" t="str">
        <x:v>O09</x:v>
      </x:c>
      <x:c r="B14" s="25" t="str">
        <x:v>Proposal-document automation</x:v>
      </x:c>
      <x:c r="C14" s="37" t="n">
        <x:v>499</x:v>
      </x:c>
      <x:c r="D14" s="35" t="n">
        <x:v>2</x:v>
      </x:c>
      <x:c r="E14" s="35" t="n">
        <x:v>8</x:v>
      </x:c>
      <x:c r="F14" s="39" t="n">
        <x:v>0.1</x:v>
      </x:c>
      <x:c r="G14" s="35" t="n">
        <x:v>0.3</x:v>
      </x:c>
      <x:c r="H14" s="39" t="n">
        <x:v>0.03</x:v>
      </x:c>
      <x:c r="I14" s="35" t="n">
        <x:v>12</x:v>
      </x:c>
      <x:c r="J14" s="35" t="n">
        <x:v>35</x:v>
      </x:c>
      <x:c r="K14" s="35" t="n">
        <x:v>60</x:v>
      </x:c>
      <x:c r="L14" s="39" t="n">
        <x:v>0.15</x:v>
      </x:c>
      <x:c r="M14" s="33" t="n">
        <x:f>C14*D14</x:f>
        <x:v>998</x:v>
      </x:c>
      <x:c r="N14" s="33" t="n">
        <x:f>M14*(F14+H14)+D14*(G14+I14)+J14+K14</x:f>
        <x:v>249.34</x:v>
      </x:c>
      <x:c r="O14" s="33" t="n">
        <x:f>M14-N14</x:f>
        <x:v>748.66</x:v>
      </x:c>
      <x:c r="P14" s="33" t="n">
        <x:f>-J14-K14</x:f>
        <x:v>-95</x:v>
      </x:c>
      <x:c r="Q14" s="33" t="n">
        <x:f>C14*E14</x:f>
        <x:v>3992</x:v>
      </x:c>
      <x:c r="R14" s="33" t="n">
        <x:f>Q14*(F14+H14+L14)+E14*(G14+I14)+J14+K14*3</x:f>
        <x:v>1431.1600000000003</x:v>
      </x:c>
      <x:c r="S14" s="33" t="n">
        <x:f>Q14-R14</x:f>
        <x:v>2560.8399999999997</x:v>
      </x:c>
      <x:c r="T14" s="25" t="n">
        <x:v>3</x:v>
      </x:c>
      <x:c r="U14" s="25" t="n">
        <x:v>4</x:v>
      </x:c>
      <x:c r="V14" s="33" t="n">
        <x:f>IFERROR(O14/((T14+U14)*52/12),0)</x:f>
        <x:v>24.681098901098903</x:v>
      </x:c>
      <x:c r="W14" s="25" t="str">
        <x:v>Editable hypothetical demand; not measured earnings. M12 adds overhead + triples acquisition spend. No owner wage/income tax.</x:v>
      </x:c>
    </x:row>
    <x:row r="15" ht="72" customHeight="1">
      <x:c r="A15" s="25" t="str">
        <x:v>O10</x:v>
      </x:c>
      <x:c r="B15" s="25" t="str">
        <x:v>Batch product-media optimization</x:v>
      </x:c>
      <x:c r="C15" s="37" t="n">
        <x:v>199</x:v>
      </x:c>
      <x:c r="D15" s="35" t="n">
        <x:v>4</x:v>
      </x:c>
      <x:c r="E15" s="35" t="n">
        <x:v>15</x:v>
      </x:c>
      <x:c r="F15" s="39" t="n">
        <x:v>0.1</x:v>
      </x:c>
      <x:c r="G15" s="35" t="n">
        <x:v>0.3</x:v>
      </x:c>
      <x:c r="H15" s="39" t="n">
        <x:v>0.03</x:v>
      </x:c>
      <x:c r="I15" s="35" t="n">
        <x:v>8</x:v>
      </x:c>
      <x:c r="J15" s="35" t="n">
        <x:v>25</x:v>
      </x:c>
      <x:c r="K15" s="35" t="n">
        <x:v>60</x:v>
      </x:c>
      <x:c r="L15" s="39" t="n">
        <x:v>0.15</x:v>
      </x:c>
      <x:c r="M15" s="33" t="n">
        <x:f>C15*D15</x:f>
        <x:v>796</x:v>
      </x:c>
      <x:c r="N15" s="33" t="n">
        <x:f>M15*(F15+H15)+D15*(G15+I15)+J15+K15</x:f>
        <x:v>221.68</x:v>
      </x:c>
      <x:c r="O15" s="33" t="n">
        <x:f>M15-N15</x:f>
        <x:v>574.3199999999999</x:v>
      </x:c>
      <x:c r="P15" s="33" t="n">
        <x:f>-J15-K15</x:f>
        <x:v>-85</x:v>
      </x:c>
      <x:c r="Q15" s="33" t="n">
        <x:f>C15*E15</x:f>
        <x:v>2985</x:v>
      </x:c>
      <x:c r="R15" s="33" t="n">
        <x:f>Q15*(F15+H15+L15)+E15*(G15+I15)+J15+K15*3</x:f>
        <x:v>1165.3000000000002</x:v>
      </x:c>
      <x:c r="S15" s="33" t="n">
        <x:f>Q15-R15</x:f>
        <x:v>1819.6999999999998</x:v>
      </x:c>
      <x:c r="T15" s="25" t="n">
        <x:v>3</x:v>
      </x:c>
      <x:c r="U15" s="25" t="n">
        <x:v>4</x:v>
      </x:c>
      <x:c r="V15" s="33" t="n">
        <x:f>IFERROR(O15/((T15+U15)*52/12),0)</x:f>
        <x:v>18.93362637362637</x:v>
      </x:c>
      <x:c r="W15" s="25" t="str">
        <x:v>Editable hypothetical demand; not measured earnings. M12 adds overhead + triples acquisition spend. No owner wage/income tax.</x:v>
      </x:c>
    </x:row>
    <x:row r="16" ht="72" customHeight="1">
      <x:c r="A16" s="25" t="str">
        <x:v>O14</x:v>
      </x:c>
      <x:c r="B16" s="25" t="str">
        <x:v>Game-engine productivity add-on</x:v>
      </x:c>
      <x:c r="C16" s="37" t="n">
        <x:v>39</x:v>
      </x:c>
      <x:c r="D16" s="35" t="n">
        <x:v>8</x:v>
      </x:c>
      <x:c r="E16" s="35" t="n">
        <x:v>90</x:v>
      </x:c>
      <x:c r="F16" s="39" t="n">
        <x:v>0.15</x:v>
      </x:c>
      <x:c r="G16" s="35" t="n">
        <x:v>0.75</x:v>
      </x:c>
      <x:c r="H16" s="39" t="n">
        <x:v>0.03</x:v>
      </x:c>
      <x:c r="I16" s="35" t="n">
        <x:v>1</x:v>
      </x:c>
      <x:c r="J16" s="35" t="n">
        <x:v>20</x:v>
      </x:c>
      <x:c r="K16" s="35" t="n">
        <x:v>50</x:v>
      </x:c>
      <x:c r="L16" s="39" t="n">
        <x:v>0.15</x:v>
      </x:c>
      <x:c r="M16" s="33" t="n">
        <x:f>C16*D16</x:f>
        <x:v>312</x:v>
      </x:c>
      <x:c r="N16" s="33" t="n">
        <x:f>M16*(F16+H16)+D16*(G16+I16)+J16+K16</x:f>
        <x:v>140.16</x:v>
      </x:c>
      <x:c r="O16" s="33" t="n">
        <x:f>M16-N16</x:f>
        <x:v>171.84</x:v>
      </x:c>
      <x:c r="P16" s="33" t="n">
        <x:f>-J16-K16</x:f>
        <x:v>-70</x:v>
      </x:c>
      <x:c r="Q16" s="33" t="n">
        <x:f>C16*E16</x:f>
        <x:v>3510</x:v>
      </x:c>
      <x:c r="R16" s="33" t="n">
        <x:f>Q16*(F16+H16+L16)+E16*(G16+I16)+J16+K16*3</x:f>
        <x:v>1485.8</x:v>
      </x:c>
      <x:c r="S16" s="33" t="n">
        <x:f>Q16-R16</x:f>
        <x:v>2024.2</x:v>
      </x:c>
      <x:c r="T16" s="25" t="n">
        <x:v>2</x:v>
      </x:c>
      <x:c r="U16" s="25" t="n">
        <x:v>4</x:v>
      </x:c>
      <x:c r="V16" s="33" t="n">
        <x:f>IFERROR(O16/((T16+U16)*52/12),0)</x:f>
        <x:v>6.609230769230769</x:v>
      </x:c>
      <x:c r="W16" s="25" t="str">
        <x:v>Editable hypothetical demand; not measured earnings. M12 adds overhead + triples acquisition spend. No owner wage/income tax.</x:v>
      </x:c>
    </x:row>
    <x:row r="17" ht="72" customHeight="1">
      <x:c r="A17" s="25" t="str">
        <x:v>O15</x:v>
      </x:c>
      <x:c r="B17" s="25" t="str">
        <x:v>Catalog QA subscription</x:v>
      </x:c>
      <x:c r="C17" s="37" t="n">
        <x:v>49</x:v>
      </x:c>
      <x:c r="D17" s="35" t="n">
        <x:v>8</x:v>
      </x:c>
      <x:c r="E17" s="35" t="n">
        <x:v>100</x:v>
      </x:c>
      <x:c r="F17" s="39" t="n">
        <x:v>0.05</x:v>
      </x:c>
      <x:c r="G17" s="35" t="n">
        <x:v>0.75</x:v>
      </x:c>
      <x:c r="H17" s="39" t="n">
        <x:v>0.03</x:v>
      </x:c>
      <x:c r="I17" s="35" t="n">
        <x:v>7</x:v>
      </x:c>
      <x:c r="J17" s="35" t="n">
        <x:v>60</x:v>
      </x:c>
      <x:c r="K17" s="35" t="n">
        <x:v>100</x:v>
      </x:c>
      <x:c r="L17" s="39" t="n">
        <x:v>0.15</x:v>
      </x:c>
      <x:c r="M17" s="33" t="n">
        <x:f>C17*D17</x:f>
        <x:v>392</x:v>
      </x:c>
      <x:c r="N17" s="33" t="n">
        <x:f>M17*(F17+H17)+D17*(G17+I17)+J17+K17</x:f>
        <x:v>253.36</x:v>
      </x:c>
      <x:c r="O17" s="33" t="n">
        <x:f>M17-N17</x:f>
        <x:v>138.64</x:v>
      </x:c>
      <x:c r="P17" s="33" t="n">
        <x:f>-J17-K17</x:f>
        <x:v>-160</x:v>
      </x:c>
      <x:c r="Q17" s="33" t="n">
        <x:f>C17*E17</x:f>
        <x:v>4900</x:v>
      </x:c>
      <x:c r="R17" s="33" t="n">
        <x:f>Q17*(F17+H17+L17)+E17*(G17+I17)+J17+K17*3</x:f>
        <x:v>2262</x:v>
      </x:c>
      <x:c r="S17" s="33" t="n">
        <x:f>Q17-R17</x:f>
        <x:v>2638</x:v>
      </x:c>
      <x:c r="T17" s="25" t="n">
        <x:v>2</x:v>
      </x:c>
      <x:c r="U17" s="25" t="n">
        <x:v>5</x:v>
      </x:c>
      <x:c r="V17" s="33" t="n">
        <x:f>IFERROR(O17/((T17+U17)*52/12),0)</x:f>
        <x:v>4.57054945054945</x:v>
      </x:c>
      <x:c r="W17" s="25" t="str">
        <x:v>Editable hypothetical demand; not measured earnings. M12 adds overhead + triples acquisition spend. No owner wage/income tax.</x:v>
      </x:c>
    </x:row>
    <x:row r="18" ht="72" customHeight="1">
      <x:c r="A18" s="25" t="str">
        <x:v>O53</x:v>
      </x:c>
      <x:c r="B18" s="25" t="str">
        <x:v>Customer-onboarding workflow</x:v>
      </x:c>
      <x:c r="C18" s="37" t="n">
        <x:v>499</x:v>
      </x:c>
      <x:c r="D18" s="35" t="n">
        <x:v>2</x:v>
      </x:c>
      <x:c r="E18" s="35" t="n">
        <x:v>8</x:v>
      </x:c>
      <x:c r="F18" s="39" t="n">
        <x:v>0.1</x:v>
      </x:c>
      <x:c r="G18" s="35" t="n">
        <x:v>0.3</x:v>
      </x:c>
      <x:c r="H18" s="39" t="n">
        <x:v>0.03</x:v>
      </x:c>
      <x:c r="I18" s="35" t="n">
        <x:v>12</x:v>
      </x:c>
      <x:c r="J18" s="35" t="n">
        <x:v>30</x:v>
      </x:c>
      <x:c r="K18" s="35" t="n">
        <x:v>70</x:v>
      </x:c>
      <x:c r="L18" s="39" t="n">
        <x:v>0.15</x:v>
      </x:c>
      <x:c r="M18" s="33" t="n">
        <x:f>C18*D18</x:f>
        <x:v>998</x:v>
      </x:c>
      <x:c r="N18" s="33" t="n">
        <x:f>M18*(F18+H18)+D18*(G18+I18)+J18+K18</x:f>
        <x:v>254.34</x:v>
      </x:c>
      <x:c r="O18" s="33" t="n">
        <x:f>M18-N18</x:f>
        <x:v>743.66</x:v>
      </x:c>
      <x:c r="P18" s="33" t="n">
        <x:f>-J18-K18</x:f>
        <x:v>-100</x:v>
      </x:c>
      <x:c r="Q18" s="33" t="n">
        <x:f>C18*E18</x:f>
        <x:v>3992</x:v>
      </x:c>
      <x:c r="R18" s="33" t="n">
        <x:f>Q18*(F18+H18+L18)+E18*(G18+I18)+J18+K18*3</x:f>
        <x:v>1456.1600000000003</x:v>
      </x:c>
      <x:c r="S18" s="33" t="n">
        <x:f>Q18-R18</x:f>
        <x:v>2535.8399999999997</x:v>
      </x:c>
      <x:c r="T18" s="25" t="n">
        <x:v>3</x:v>
      </x:c>
      <x:c r="U18" s="25" t="n">
        <x:v>4</x:v>
      </x:c>
      <x:c r="V18" s="33" t="n">
        <x:f>IFERROR(O18/((T18+U18)*52/12),0)</x:f>
        <x:v>24.516263736263735</x:v>
      </x:c>
      <x:c r="W18" s="25" t="str">
        <x:v>Editable hypothetical demand; not measured earnings. M12 adds overhead + triples acquisition spend. No owner wage/income tax.</x:v>
      </x:c>
    </x:row>
    <x:row r="19" ht="72" customHeight="1">
      <x:c r="A19" s="25" t="str">
        <x:v>O12</x:v>
      </x:c>
      <x:c r="B19" s="25" t="str">
        <x:v>Email-authentication setup</x:v>
      </x:c>
      <x:c r="C19" s="37" t="n">
        <x:v>299</x:v>
      </x:c>
      <x:c r="D19" s="35" t="n">
        <x:v>3</x:v>
      </x:c>
      <x:c r="E19" s="35" t="n">
        <x:v>10</x:v>
      </x:c>
      <x:c r="F19" s="39" t="n">
        <x:v>0.1</x:v>
      </x:c>
      <x:c r="G19" s="35" t="n">
        <x:v>0.3</x:v>
      </x:c>
      <x:c r="H19" s="39" t="n">
        <x:v>0.03</x:v>
      </x:c>
      <x:c r="I19" s="35" t="n">
        <x:v>10</x:v>
      </x:c>
      <x:c r="J19" s="35" t="n">
        <x:v>35</x:v>
      </x:c>
      <x:c r="K19" s="35" t="n">
        <x:v>75</x:v>
      </x:c>
      <x:c r="L19" s="39" t="n">
        <x:v>0.15</x:v>
      </x:c>
      <x:c r="M19" s="33" t="n">
        <x:f>C19*D19</x:f>
        <x:v>897</x:v>
      </x:c>
      <x:c r="N19" s="33" t="n">
        <x:f>M19*(F19+H19)+D19*(G19+I19)+J19+K19</x:f>
        <x:v>257.51</x:v>
      </x:c>
      <x:c r="O19" s="33" t="n">
        <x:f>M19-N19</x:f>
        <x:v>639.49</x:v>
      </x:c>
      <x:c r="P19" s="33" t="n">
        <x:f>-J19-K19</x:f>
        <x:v>-110</x:v>
      </x:c>
      <x:c r="Q19" s="33" t="n">
        <x:f>C19*E19</x:f>
        <x:v>2990</x:v>
      </x:c>
      <x:c r="R19" s="33" t="n">
        <x:f>Q19*(F19+H19+L19)+E19*(G19+I19)+J19+K19*3</x:f>
        <x:v>1200.2</x:v>
      </x:c>
      <x:c r="S19" s="33" t="n">
        <x:f>Q19-R19</x:f>
        <x:v>1789.8</x:v>
      </x:c>
      <x:c r="T19" s="25" t="n">
        <x:v>3</x:v>
      </x:c>
      <x:c r="U19" s="25" t="n">
        <x:v>4</x:v>
      </x:c>
      <x:c r="V19" s="33" t="n">
        <x:f>IFERROR(O19/((T19+U19)*52/12),0)</x:f>
        <x:v>21.082087912087914</x:v>
      </x:c>
      <x:c r="W19" s="25" t="str">
        <x:v>Editable hypothetical demand; not measured earnings. M12 adds overhead + triples acquisition spend. No owner wage/income tax.</x:v>
      </x:c>
    </x:row>
    <x:row r="20" ht="72" customHeight="1">
      <x:c r="A20" s="25" t="str">
        <x:v>O13</x:v>
      </x:c>
      <x:c r="B20" s="25" t="str">
        <x:v>WordPress backup/update care</x:v>
      </x:c>
      <x:c r="C20" s="37" t="n">
        <x:v>129</x:v>
      </x:c>
      <x:c r="D20" s="35" t="n">
        <x:v>7</x:v>
      </x:c>
      <x:c r="E20" s="35" t="n">
        <x:v>35</x:v>
      </x:c>
      <x:c r="F20" s="39" t="n">
        <x:v>0.1</x:v>
      </x:c>
      <x:c r="G20" s="35" t="n">
        <x:v>0.3</x:v>
      </x:c>
      <x:c r="H20" s="39" t="n">
        <x:v>0.03</x:v>
      </x:c>
      <x:c r="I20" s="35" t="n">
        <x:v>20</x:v>
      </x:c>
      <x:c r="J20" s="35" t="n">
        <x:v>60</x:v>
      </x:c>
      <x:c r="K20" s="35" t="n">
        <x:v>80</x:v>
      </x:c>
      <x:c r="L20" s="39" t="n">
        <x:v>0.15</x:v>
      </x:c>
      <x:c r="M20" s="33" t="n">
        <x:f>C20*D20</x:f>
        <x:v>903</x:v>
      </x:c>
      <x:c r="N20" s="33" t="n">
        <x:f>M20*(F20+H20)+D20*(G20+I20)+J20+K20</x:f>
        <x:v>399.49</x:v>
      </x:c>
      <x:c r="O20" s="33" t="n">
        <x:f>M20-N20</x:f>
        <x:v>503.51</x:v>
      </x:c>
      <x:c r="P20" s="33" t="n">
        <x:f>-J20-K20</x:f>
        <x:v>-140</x:v>
      </x:c>
      <x:c r="Q20" s="33" t="n">
        <x:f>C20*E20</x:f>
        <x:v>4515</x:v>
      </x:c>
      <x:c r="R20" s="33" t="n">
        <x:f>Q20*(F20+H20+L20)+E20*(G20+I20)+J20+K20*3</x:f>
        <x:v>2274.7</x:v>
      </x:c>
      <x:c r="S20" s="33" t="n">
        <x:f>Q20-R20</x:f>
        <x:v>2240.3</x:v>
      </x:c>
      <x:c r="T20" s="25" t="n">
        <x:v>4</x:v>
      </x:c>
      <x:c r="U20" s="25" t="n">
        <x:v>4</x:v>
      </x:c>
      <x:c r="V20" s="33" t="n">
        <x:f>IFERROR(O20/((T20+U20)*52/12),0)</x:f>
        <x:v>14.524326923076924</x:v>
      </x:c>
      <x:c r="W20" s="25" t="str">
        <x:v>Editable hypothetical demand; not measured earnings. M12 adds overhead + triples acquisition spend. No owner wage/income tax.</x:v>
      </x:c>
    </x:row>
    <x:row r="21" ht="72" customHeight="1">
      <x:c r="A21" s="25" t="str">
        <x:v>O24</x:v>
      </x:c>
      <x:c r="B21" s="25" t="str">
        <x:v>Blender batch-export add-on</x:v>
      </x:c>
      <x:c r="C21" s="37" t="n">
        <x:v>39</x:v>
      </x:c>
      <x:c r="D21" s="35" t="n">
        <x:v>7</x:v>
      </x:c>
      <x:c r="E21" s="35" t="n">
        <x:v>90</x:v>
      </x:c>
      <x:c r="F21" s="39" t="n">
        <x:v>0.05</x:v>
      </x:c>
      <x:c r="G21" s="35" t="n">
        <x:v>0.75</x:v>
      </x:c>
      <x:c r="H21" s="39" t="n">
        <x:v>0.03</x:v>
      </x:c>
      <x:c r="I21" s="35" t="n">
        <x:v>1</x:v>
      </x:c>
      <x:c r="J21" s="35" t="n">
        <x:v>20</x:v>
      </x:c>
      <x:c r="K21" s="35" t="n">
        <x:v>50</x:v>
      </x:c>
      <x:c r="L21" s="39" t="n">
        <x:v>0.15</x:v>
      </x:c>
      <x:c r="M21" s="33" t="n">
        <x:f>C21*D21</x:f>
        <x:v>273</x:v>
      </x:c>
      <x:c r="N21" s="33" t="n">
        <x:f>M21*(F21+H21)+D21*(G21+I21)+J21+K21</x:f>
        <x:v>104.09</x:v>
      </x:c>
      <x:c r="O21" s="33" t="n">
        <x:f>M21-N21</x:f>
        <x:v>168.91</x:v>
      </x:c>
      <x:c r="P21" s="33" t="n">
        <x:f>-J21-K21</x:f>
        <x:v>-70</x:v>
      </x:c>
      <x:c r="Q21" s="33" t="n">
        <x:f>C21*E21</x:f>
        <x:v>3510</x:v>
      </x:c>
      <x:c r="R21" s="33" t="n">
        <x:f>Q21*(F21+H21+L21)+E21*(G21+I21)+J21+K21*3</x:f>
        <x:v>1134.8</x:v>
      </x:c>
      <x:c r="S21" s="33" t="n">
        <x:f>Q21-R21</x:f>
        <x:v>2375.2</x:v>
      </x:c>
      <x:c r="T21" s="25" t="n">
        <x:v>2</x:v>
      </x:c>
      <x:c r="U21" s="25" t="n">
        <x:v>4</x:v>
      </x:c>
      <x:c r="V21" s="33" t="n">
        <x:f>IFERROR(O21/((T21+U21)*52/12),0)</x:f>
        <x:v>6.496538461538462</x:v>
      </x:c>
      <x:c r="W21" s="25" t="str">
        <x:v>Editable hypothetical demand; not measured earnings. M12 adds overhead + triples acquisition spend. No owner wage/income tax.</x:v>
      </x:c>
    </x:row>
    <x:row r="22" ht="72" customHeight="1">
      <x:c r="A22" s="25" t="str">
        <x:v>O27</x:v>
      </x:c>
      <x:c r="B22" s="25" t="str">
        <x:v>Original procedural shader/texture kit</x:v>
      </x:c>
      <x:c r="C22" s="37" t="n">
        <x:v>39</x:v>
      </x:c>
      <x:c r="D22" s="35" t="n">
        <x:v>8</x:v>
      </x:c>
      <x:c r="E22" s="35" t="n">
        <x:v>100</x:v>
      </x:c>
      <x:c r="F22" s="39" t="n">
        <x:v>0.15</x:v>
      </x:c>
      <x:c r="G22" s="35" t="n">
        <x:v>0.75</x:v>
      </x:c>
      <x:c r="H22" s="39" t="n">
        <x:v>0.03</x:v>
      </x:c>
      <x:c r="I22" s="35" t="n">
        <x:v>1</x:v>
      </x:c>
      <x:c r="J22" s="35" t="n">
        <x:v>20</x:v>
      </x:c>
      <x:c r="K22" s="35" t="n">
        <x:v>60</x:v>
      </x:c>
      <x:c r="L22" s="39" t="n">
        <x:v>0.15</x:v>
      </x:c>
      <x:c r="M22" s="33" t="n">
        <x:f>C22*D22</x:f>
        <x:v>312</x:v>
      </x:c>
      <x:c r="N22" s="33" t="n">
        <x:f>M22*(F22+H22)+D22*(G22+I22)+J22+K22</x:f>
        <x:v>150.16</x:v>
      </x:c>
      <x:c r="O22" s="33" t="n">
        <x:f>M22-N22</x:f>
        <x:v>161.84</x:v>
      </x:c>
      <x:c r="P22" s="33" t="n">
        <x:f>-J22-K22</x:f>
        <x:v>-80</x:v>
      </x:c>
      <x:c r="Q22" s="33" t="n">
        <x:f>C22*E22</x:f>
        <x:v>3900</x:v>
      </x:c>
      <x:c r="R22" s="33" t="n">
        <x:f>Q22*(F22+H22+L22)+E22*(G22+I22)+J22+K22*3</x:f>
        <x:v>1661.9999999999998</x:v>
      </x:c>
      <x:c r="S22" s="33" t="n">
        <x:f>Q22-R22</x:f>
        <x:v>2238</x:v>
      </x:c>
      <x:c r="T22" s="25" t="n">
        <x:v>2</x:v>
      </x:c>
      <x:c r="U22" s="25" t="n">
        <x:v>4</x:v>
      </x:c>
      <x:c r="V22" s="33" t="n">
        <x:f>IFERROR(O22/((T22+U22)*52/12),0)</x:f>
        <x:v>6.224615384615385</x:v>
      </x:c>
      <x:c r="W22" s="25" t="str">
        <x:v>Editable hypothetical demand; not measured earnings. M12 adds overhead + triples acquisition spend. No owner wage/income tax.</x:v>
      </x:c>
    </x:row>
    <x:row r="23" ht="72" customHeight="1">
      <x:c r="A23" s="25" t="str">
        <x:v>O49</x:v>
      </x:c>
      <x:c r="B23" s="25" t="str">
        <x:v>First-party cohort analytics</x:v>
      </x:c>
      <x:c r="C23" s="37" t="n">
        <x:v>99</x:v>
      </x:c>
      <x:c r="D23" s="35" t="n">
        <x:v>4</x:v>
      </x:c>
      <x:c r="E23" s="35" t="n">
        <x:v>60</x:v>
      </x:c>
      <x:c r="F23" s="39" t="n">
        <x:v>0.05</x:v>
      </x:c>
      <x:c r="G23" s="35" t="n">
        <x:v>0.75</x:v>
      </x:c>
      <x:c r="H23" s="39" t="n">
        <x:v>0.03</x:v>
      </x:c>
      <x:c r="I23" s="35" t="n">
        <x:v>12</x:v>
      </x:c>
      <x:c r="J23" s="35" t="n">
        <x:v>45</x:v>
      </x:c>
      <x:c r="K23" s="35" t="n">
        <x:v>100</x:v>
      </x:c>
      <x:c r="L23" s="39" t="n">
        <x:v>0.15</x:v>
      </x:c>
      <x:c r="M23" s="33" t="n">
        <x:f>C23*D23</x:f>
        <x:v>396</x:v>
      </x:c>
      <x:c r="N23" s="33" t="n">
        <x:f>M23*(F23+H23)+D23*(G23+I23)+J23+K23</x:f>
        <x:v>227.68</x:v>
      </x:c>
      <x:c r="O23" s="33" t="n">
        <x:f>M23-N23</x:f>
        <x:v>168.32</x:v>
      </x:c>
      <x:c r="P23" s="33" t="n">
        <x:f>-J23-K23</x:f>
        <x:v>-145</x:v>
      </x:c>
      <x:c r="Q23" s="33" t="n">
        <x:f>C23*E23</x:f>
        <x:v>5940</x:v>
      </x:c>
      <x:c r="R23" s="33" t="n">
        <x:f>Q23*(F23+H23+L23)+E23*(G23+I23)+J23+K23*3</x:f>
        <x:v>2476.2</x:v>
      </x:c>
      <x:c r="S23" s="33" t="n">
        <x:f>Q23-R23</x:f>
        <x:v>3463.8</x:v>
      </x:c>
      <x:c r="T23" s="25" t="n">
        <x:v>3</x:v>
      </x:c>
      <x:c r="U23" s="25" t="n">
        <x:v>5</x:v>
      </x:c>
      <x:c r="V23" s="33" t="n">
        <x:f>IFERROR(O23/((T23+U23)*52/12),0)</x:f>
        <x:v>4.855384615384615</x:v>
      </x:c>
      <x:c r="W23" s="25" t="str">
        <x:v>Editable hypothetical demand; not measured earnings. M12 adds overhead + triples acquisition spend. No owner wage/income tax.</x:v>
      </x:c>
    </x:row>
    <x:row r="24" ht="72" customHeight="1">
      <x:c r="A24" s="25" t="str">
        <x:v>O50</x:v>
      </x:c>
      <x:c r="B24" s="25" t="str">
        <x:v>Approved-document support assistant</x:v>
      </x:c>
      <x:c r="C24" s="37" t="n">
        <x:v>149</x:v>
      </x:c>
      <x:c r="D24" s="35" t="n">
        <x:v>3</x:v>
      </x:c>
      <x:c r="E24" s="35" t="n">
        <x:v>50</x:v>
      </x:c>
      <x:c r="F24" s="39" t="n">
        <x:v>0.05</x:v>
      </x:c>
      <x:c r="G24" s="35" t="n">
        <x:v>0.75</x:v>
      </x:c>
      <x:c r="H24" s="39" t="n">
        <x:v>0.03</x:v>
      </x:c>
      <x:c r="I24" s="35" t="n">
        <x:v>25</x:v>
      </x:c>
      <x:c r="J24" s="35" t="n">
        <x:v>50</x:v>
      </x:c>
      <x:c r="K24" s="35" t="n">
        <x:v>100</x:v>
      </x:c>
      <x:c r="L24" s="39" t="n">
        <x:v>0.15</x:v>
      </x:c>
      <x:c r="M24" s="33" t="n">
        <x:f>C24*D24</x:f>
        <x:v>447</x:v>
      </x:c>
      <x:c r="N24" s="33" t="n">
        <x:f>M24*(F24+H24)+D24*(G24+I24)+J24+K24</x:f>
        <x:v>263.01</x:v>
      </x:c>
      <x:c r="O24" s="33" t="n">
        <x:f>M24-N24</x:f>
        <x:v>183.99</x:v>
      </x:c>
      <x:c r="P24" s="33" t="n">
        <x:f>-J24-K24</x:f>
        <x:v>-150</x:v>
      </x:c>
      <x:c r="Q24" s="33" t="n">
        <x:f>C24*E24</x:f>
        <x:v>7450</x:v>
      </x:c>
      <x:c r="R24" s="33" t="n">
        <x:f>Q24*(F24+H24+L24)+E24*(G24+I24)+J24+K24*3</x:f>
        <x:v>3351</x:v>
      </x:c>
      <x:c r="S24" s="33" t="n">
        <x:f>Q24-R24</x:f>
        <x:v>4099</x:v>
      </x:c>
      <x:c r="T24" s="25" t="n">
        <x:v>4</x:v>
      </x:c>
      <x:c r="U24" s="25" t="n">
        <x:v>6</x:v>
      </x:c>
      <x:c r="V24" s="33" t="n">
        <x:f>IFERROR(O24/((T24+U24)*52/12),0)</x:f>
        <x:v>4.245923076923077</x:v>
      </x:c>
      <x:c r="W24" s="25" t="str">
        <x:v>Editable hypothetical demand; not measured earnings. M12 adds overhead + triples acquisition spend. No owner wage/income tax.</x:v>
      </x:c>
    </x:row>
    <x:row r="25" ht="72" customHeight="1">
      <x:c r="A25" s="25" t="str">
        <x:v>O51</x:v>
      </x:c>
      <x:c r="B25" s="25" t="str">
        <x:v>Support-ticket triage copilot</x:v>
      </x:c>
      <x:c r="C25" s="37" t="n">
        <x:v>99</x:v>
      </x:c>
      <x:c r="D25" s="35" t="n">
        <x:v>4</x:v>
      </x:c>
      <x:c r="E25" s="35" t="n">
        <x:v>70</x:v>
      </x:c>
      <x:c r="F25" s="39" t="n">
        <x:v>0.05</x:v>
      </x:c>
      <x:c r="G25" s="35" t="n">
        <x:v>0.75</x:v>
      </x:c>
      <x:c r="H25" s="39" t="n">
        <x:v>0.03</x:v>
      </x:c>
      <x:c r="I25" s="35" t="n">
        <x:v>15</x:v>
      </x:c>
      <x:c r="J25" s="35" t="n">
        <x:v>40</x:v>
      </x:c>
      <x:c r="K25" s="35" t="n">
        <x:v>100</x:v>
      </x:c>
      <x:c r="L25" s="39" t="n">
        <x:v>0.15</x:v>
      </x:c>
      <x:c r="M25" s="33" t="n">
        <x:f>C25*D25</x:f>
        <x:v>396</x:v>
      </x:c>
      <x:c r="N25" s="33" t="n">
        <x:f>M25*(F25+H25)+D25*(G25+I25)+J25+K25</x:f>
        <x:v>234.68</x:v>
      </x:c>
      <x:c r="O25" s="33" t="n">
        <x:f>M25-N25</x:f>
        <x:v>161.32</x:v>
      </x:c>
      <x:c r="P25" s="33" t="n">
        <x:f>-J25-K25</x:f>
        <x:v>-140</x:v>
      </x:c>
      <x:c r="Q25" s="33" t="n">
        <x:f>C25*E25</x:f>
        <x:v>6930</x:v>
      </x:c>
      <x:c r="R25" s="33" t="n">
        <x:f>Q25*(F25+H25+L25)+E25*(G25+I25)+J25+K25*3</x:f>
        <x:v>3036.3999999999996</x:v>
      </x:c>
      <x:c r="S25" s="33" t="n">
        <x:f>Q25-R25</x:f>
        <x:v>3893.6000000000004</x:v>
      </x:c>
      <x:c r="T25" s="25" t="n">
        <x:v>3</x:v>
      </x:c>
      <x:c r="U25" s="25" t="n">
        <x:v>5</x:v>
      </x:c>
      <x:c r="V25" s="33" t="n">
        <x:f>IFERROR(O25/((T25+U25)*52/12),0)</x:f>
        <x:v>4.6534615384615385</x:v>
      </x:c>
      <x:c r="W25" s="25" t="str">
        <x:v>Editable hypothetical demand; not measured earnings. M12 adds overhead + triples acquisition spend. No owner wage/income tax.</x:v>
      </x:c>
    </x:row>
    <x:row r="26" ht="72" customHeight="1">
      <x:c r="A26" s="25" t="str">
        <x:v>O25</x:v>
      </x:c>
      <x:c r="B26" s="25" t="str">
        <x:v>Original modular environment kit</x:v>
      </x:c>
      <x:c r="C26" s="37" t="n">
        <x:v>49</x:v>
      </x:c>
      <x:c r="D26" s="35" t="n">
        <x:v>6</x:v>
      </x:c>
      <x:c r="E26" s="35" t="n">
        <x:v>70</x:v>
      </x:c>
      <x:c r="F26" s="39" t="n">
        <x:v>0.15</x:v>
      </x:c>
      <x:c r="G26" s="35" t="n">
        <x:v>0.75</x:v>
      </x:c>
      <x:c r="H26" s="39" t="n">
        <x:v>0.03</x:v>
      </x:c>
      <x:c r="I26" s="35" t="n">
        <x:v>1</x:v>
      </x:c>
      <x:c r="J26" s="35" t="n">
        <x:v>20</x:v>
      </x:c>
      <x:c r="K26" s="35" t="n">
        <x:v>50</x:v>
      </x:c>
      <x:c r="L26" s="39" t="n">
        <x:v>0.15</x:v>
      </x:c>
      <x:c r="M26" s="33" t="n">
        <x:f>C26*D26</x:f>
        <x:v>294</x:v>
      </x:c>
      <x:c r="N26" s="33" t="n">
        <x:f>M26*(F26+H26)+D26*(G26+I26)+J26+K26</x:f>
        <x:v>133.42</x:v>
      </x:c>
      <x:c r="O26" s="33" t="n">
        <x:f>M26-N26</x:f>
        <x:v>160.58</x:v>
      </x:c>
      <x:c r="P26" s="33" t="n">
        <x:f>-J26-K26</x:f>
        <x:v>-70</x:v>
      </x:c>
      <x:c r="Q26" s="33" t="n">
        <x:f>C26*E26</x:f>
        <x:v>3430</x:v>
      </x:c>
      <x:c r="R26" s="33" t="n">
        <x:f>Q26*(F26+H26+L26)+E26*(G26+I26)+J26+K26*3</x:f>
        <x:v>1424.3999999999999</x:v>
      </x:c>
      <x:c r="S26" s="33" t="n">
        <x:f>Q26-R26</x:f>
        <x:v>2005.6000000000001</x:v>
      </x:c>
      <x:c r="T26" s="25" t="n">
        <x:v>2</x:v>
      </x:c>
      <x:c r="U26" s="25" t="n">
        <x:v>4</x:v>
      </x:c>
      <x:c r="V26" s="33" t="n">
        <x:f>IFERROR(O26/((T26+U26)*52/12),0)</x:f>
        <x:v>6.176153846153847</x:v>
      </x:c>
      <x:c r="W26" s="25" t="str">
        <x:v>Editable hypothetical demand; not measured earnings. M12 adds overhead + triples acquisition spend. No owner wage/income tax.</x:v>
      </x:c>
    </x:row>
    <x:row r="27" ht="72" customHeight="1">
      <x:c r="A27" s="25" t="str">
        <x:v>O26</x:v>
      </x:c>
      <x:c r="B27" s="25" t="str">
        <x:v>Original sound-effect library</x:v>
      </x:c>
      <x:c r="C27" s="37" t="n">
        <x:v>29</x:v>
      </x:c>
      <x:c r="D27" s="35" t="n">
        <x:v>8</x:v>
      </x:c>
      <x:c r="E27" s="35" t="n">
        <x:v>100</x:v>
      </x:c>
      <x:c r="F27" s="39" t="n">
        <x:v>0.15</x:v>
      </x:c>
      <x:c r="G27" s="35" t="n">
        <x:v>0.75</x:v>
      </x:c>
      <x:c r="H27" s="39" t="n">
        <x:v>0.03</x:v>
      </x:c>
      <x:c r="I27" s="35" t="n">
        <x:v>1</x:v>
      </x:c>
      <x:c r="J27" s="35" t="n">
        <x:v>20</x:v>
      </x:c>
      <x:c r="K27" s="35" t="n">
        <x:v>50</x:v>
      </x:c>
      <x:c r="L27" s="39" t="n">
        <x:v>0.15</x:v>
      </x:c>
      <x:c r="M27" s="33" t="n">
        <x:f>C27*D27</x:f>
        <x:v>232</x:v>
      </x:c>
      <x:c r="N27" s="33" t="n">
        <x:f>M27*(F27+H27)+D27*(G27+I27)+J27+K27</x:f>
        <x:v>125.75999999999999</x:v>
      </x:c>
      <x:c r="O27" s="33" t="n">
        <x:f>M27-N27</x:f>
        <x:v>106.24000000000001</x:v>
      </x:c>
      <x:c r="P27" s="33" t="n">
        <x:f>-J27-K27</x:f>
        <x:v>-70</x:v>
      </x:c>
      <x:c r="Q27" s="33" t="n">
        <x:f>C27*E27</x:f>
        <x:v>2900</x:v>
      </x:c>
      <x:c r="R27" s="33" t="n">
        <x:f>Q27*(F27+H27+L27)+E27*(G27+I27)+J27+K27*3</x:f>
        <x:v>1302</x:v>
      </x:c>
      <x:c r="S27" s="33" t="n">
        <x:f>Q27-R27</x:f>
        <x:v>1598</x:v>
      </x:c>
      <x:c r="T27" s="25" t="n">
        <x:v>2</x:v>
      </x:c>
      <x:c r="U27" s="25" t="n">
        <x:v>4</x:v>
      </x:c>
      <x:c r="V27" s="33" t="n">
        <x:f>IFERROR(O27/((T27+U27)*52/12),0)</x:f>
        <x:v>4.086153846153847</x:v>
      </x:c>
      <x:c r="W27" s="25" t="str">
        <x:v>Editable hypothetical demand; not measured earnings. M12 adds overhead + triples acquisition spend. No owner wage/income tax.</x:v>
      </x:c>
    </x:row>
    <x:row r="28" ht="72" customHeight="1">
      <x:c r="A28" s="25" t="str">
        <x:v>O28</x:v>
      </x:c>
      <x:c r="B28" s="25" t="str">
        <x:v>Original game UI and icon system</x:v>
      </x:c>
      <x:c r="C28" s="37" t="n">
        <x:v>29</x:v>
      </x:c>
      <x:c r="D28" s="35" t="n">
        <x:v>8</x:v>
      </x:c>
      <x:c r="E28" s="35" t="n">
        <x:v>90</x:v>
      </x:c>
      <x:c r="F28" s="39" t="n">
        <x:v>0.15</x:v>
      </x:c>
      <x:c r="G28" s="35" t="n">
        <x:v>0.75</x:v>
      </x:c>
      <x:c r="H28" s="39" t="n">
        <x:v>0.03</x:v>
      </x:c>
      <x:c r="I28" s="35" t="n">
        <x:v>1</x:v>
      </x:c>
      <x:c r="J28" s="35" t="n">
        <x:v>15</x:v>
      </x:c>
      <x:c r="K28" s="35" t="n">
        <x:v>50</x:v>
      </x:c>
      <x:c r="L28" s="39" t="n">
        <x:v>0.15</x:v>
      </x:c>
      <x:c r="M28" s="33" t="n">
        <x:f>C28*D28</x:f>
        <x:v>232</x:v>
      </x:c>
      <x:c r="N28" s="33" t="n">
        <x:f>M28*(F28+H28)+D28*(G28+I28)+J28+K28</x:f>
        <x:v>120.75999999999999</x:v>
      </x:c>
      <x:c r="O28" s="33" t="n">
        <x:f>M28-N28</x:f>
        <x:v>111.24000000000001</x:v>
      </x:c>
      <x:c r="P28" s="33" t="n">
        <x:f>-J28-K28</x:f>
        <x:v>-65</x:v>
      </x:c>
      <x:c r="Q28" s="33" t="n">
        <x:f>C28*E28</x:f>
        <x:v>2610</x:v>
      </x:c>
      <x:c r="R28" s="33" t="n">
        <x:f>Q28*(F28+H28+L28)+E28*(G28+I28)+J28+K28*3</x:f>
        <x:v>1183.7999999999997</x:v>
      </x:c>
      <x:c r="S28" s="33" t="n">
        <x:f>Q28-R28</x:f>
        <x:v>1426.2000000000003</x:v>
      </x:c>
      <x:c r="T28" s="25" t="n">
        <x:v>1</x:v>
      </x:c>
      <x:c r="U28" s="25" t="n">
        <x:v>4</x:v>
      </x:c>
      <x:c r="V28" s="33" t="n">
        <x:f>IFERROR(O28/((T28+U28)*52/12),0)</x:f>
        <x:v>5.134153846153846</x:v>
      </x:c>
      <x:c r="W28" s="25" t="str">
        <x:v>Editable hypothetical demand; not measured earnings. M12 adds overhead + triples acquisition spend. No owner wage/income tax.</x:v>
      </x:c>
    </x:row>
    <x:row r="29" ht="72" customHeight="1">
      <x:c r="A29" s="25" t="str">
        <x:v>O31</x:v>
      </x:c>
      <x:c r="B29" s="25" t="str">
        <x:v>Inventory/reorder spreadsheet</x:v>
      </x:c>
      <x:c r="C29" s="37" t="n">
        <x:v>39</x:v>
      </x:c>
      <x:c r="D29" s="35" t="n">
        <x:v>8</x:v>
      </x:c>
      <x:c r="E29" s="35" t="n">
        <x:v>100</x:v>
      </x:c>
      <x:c r="F29" s="39" t="n">
        <x:v>0.15</x:v>
      </x:c>
      <x:c r="G29" s="35" t="n">
        <x:v>0.75</x:v>
      </x:c>
      <x:c r="H29" s="39" t="n">
        <x:v>0.03</x:v>
      </x:c>
      <x:c r="I29" s="35" t="n">
        <x:v>1</x:v>
      </x:c>
      <x:c r="J29" s="35" t="n">
        <x:v>15</x:v>
      </x:c>
      <x:c r="K29" s="35" t="n">
        <x:v>50</x:v>
      </x:c>
      <x:c r="L29" s="39" t="n">
        <x:v>0.15</x:v>
      </x:c>
      <x:c r="M29" s="33" t="n">
        <x:f>C29*D29</x:f>
        <x:v>312</x:v>
      </x:c>
      <x:c r="N29" s="33" t="n">
        <x:f>M29*(F29+H29)+D29*(G29+I29)+J29+K29</x:f>
        <x:v>135.16</x:v>
      </x:c>
      <x:c r="O29" s="33" t="n">
        <x:f>M29-N29</x:f>
        <x:v>176.84</x:v>
      </x:c>
      <x:c r="P29" s="33" t="n">
        <x:f>-J29-K29</x:f>
        <x:v>-65</x:v>
      </x:c>
      <x:c r="Q29" s="33" t="n">
        <x:f>C29*E29</x:f>
        <x:v>3900</x:v>
      </x:c>
      <x:c r="R29" s="33" t="n">
        <x:f>Q29*(F29+H29+L29)+E29*(G29+I29)+J29+K29*3</x:f>
        <x:v>1626.9999999999998</x:v>
      </x:c>
      <x:c r="S29" s="33" t="n">
        <x:f>Q29-R29</x:f>
        <x:v>2273</x:v>
      </x:c>
      <x:c r="T29" s="25" t="n">
        <x:v>2</x:v>
      </x:c>
      <x:c r="U29" s="25" t="n">
        <x:v>4</x:v>
      </x:c>
      <x:c r="V29" s="33" t="n">
        <x:f>IFERROR(O29/((T29+U29)*52/12),0)</x:f>
        <x:v>6.8015384615384615</x:v>
      </x:c>
      <x:c r="W29" s="25" t="str">
        <x:v>Editable hypothetical demand; not measured earnings. M12 adds overhead + triples acquisition spend. No owner wage/income tax.</x:v>
      </x:c>
    </x:row>
    <x:row r="30" ht="72" customHeight="1">
      <x:c r="A30" s="25" t="str">
        <x:v>O34</x:v>
      </x:c>
      <x:c r="B30" s="25" t="str">
        <x:v>Branded PDF generation API</x:v>
      </x:c>
      <x:c r="C30" s="37" t="n">
        <x:v>49</x:v>
      </x:c>
      <x:c r="D30" s="35" t="n">
        <x:v>5</x:v>
      </x:c>
      <x:c r="E30" s="35" t="n">
        <x:v>120</x:v>
      </x:c>
      <x:c r="F30" s="39" t="n">
        <x:v>0.05</x:v>
      </x:c>
      <x:c r="G30" s="35" t="n">
        <x:v>0.75</x:v>
      </x:c>
      <x:c r="H30" s="39" t="n">
        <x:v>0.03</x:v>
      </x:c>
      <x:c r="I30" s="35" t="n">
        <x:v>8</x:v>
      </x:c>
      <x:c r="J30" s="35" t="n">
        <x:v>40</x:v>
      </x:c>
      <x:c r="K30" s="35" t="n">
        <x:v>90</x:v>
      </x:c>
      <x:c r="L30" s="39" t="n">
        <x:v>0.15</x:v>
      </x:c>
      <x:c r="M30" s="33" t="n">
        <x:f>C30*D30</x:f>
        <x:v>245</x:v>
      </x:c>
      <x:c r="N30" s="33" t="n">
        <x:f>M30*(F30+H30)+D30*(G30+I30)+J30+K30</x:f>
        <x:v>193.35</x:v>
      </x:c>
      <x:c r="O30" s="33" t="n">
        <x:f>M30-N30</x:f>
        <x:v>51.650000000000006</x:v>
      </x:c>
      <x:c r="P30" s="33" t="n">
        <x:f>-J30-K30</x:f>
        <x:v>-130</x:v>
      </x:c>
      <x:c r="Q30" s="33" t="n">
        <x:f>C30*E30</x:f>
        <x:v>5880</x:v>
      </x:c>
      <x:c r="R30" s="33" t="n">
        <x:f>Q30*(F30+H30+L30)+E30*(G30+I30)+J30+K30*3</x:f>
        <x:v>2712.3999999999996</x:v>
      </x:c>
      <x:c r="S30" s="33" t="n">
        <x:f>Q30-R30</x:f>
        <x:v>3167.6000000000004</x:v>
      </x:c>
      <x:c r="T30" s="25" t="n">
        <x:v>2</x:v>
      </x:c>
      <x:c r="U30" s="25" t="n">
        <x:v>5</x:v>
      </x:c>
      <x:c r="V30" s="33" t="n">
        <x:f>IFERROR(O30/((T30+U30)*52/12),0)</x:f>
        <x:v>1.702747252747253</x:v>
      </x:c>
      <x:c r="W30" s="25" t="str">
        <x:v>Editable hypothetical demand; not measured earnings. M12 adds overhead + triples acquisition spend. No owner wage/income tax.</x:v>
      </x:c>
    </x:row>
    <x:row r="31" ht="72" customHeight="1">
      <x:c r="A31" s="25" t="str">
        <x:v>O37</x:v>
      </x:c>
      <x:c r="B31" s="25" t="str">
        <x:v>Permission-based page-change alerts</x:v>
      </x:c>
      <x:c r="C31" s="37" t="n">
        <x:v>29</x:v>
      </x:c>
      <x:c r="D31" s="35" t="n">
        <x:v>8</x:v>
      </x:c>
      <x:c r="E31" s="35" t="n">
        <x:v>120</x:v>
      </x:c>
      <x:c r="F31" s="39" t="n">
        <x:v>0.05</x:v>
      </x:c>
      <x:c r="G31" s="35" t="n">
        <x:v>0.75</x:v>
      </x:c>
      <x:c r="H31" s="39" t="n">
        <x:v>0.03</x:v>
      </x:c>
      <x:c r="I31" s="35" t="n">
        <x:v>6</x:v>
      </x:c>
      <x:c r="J31" s="35" t="n">
        <x:v>35</x:v>
      </x:c>
      <x:c r="K31" s="35" t="n">
        <x:v>75</x:v>
      </x:c>
      <x:c r="L31" s="39" t="n">
        <x:v>0.15</x:v>
      </x:c>
      <x:c r="M31" s="33" t="n">
        <x:f>C31*D31</x:f>
        <x:v>232</x:v>
      </x:c>
      <x:c r="N31" s="33" t="n">
        <x:f>M31*(F31+H31)+D31*(G31+I31)+J31+K31</x:f>
        <x:v>182.56</x:v>
      </x:c>
      <x:c r="O31" s="33" t="n">
        <x:f>M31-N31</x:f>
        <x:v>49.44</x:v>
      </x:c>
      <x:c r="P31" s="33" t="n">
        <x:f>-J31-K31</x:f>
        <x:v>-110</x:v>
      </x:c>
      <x:c r="Q31" s="33" t="n">
        <x:f>C31*E31</x:f>
        <x:v>3480</x:v>
      </x:c>
      <x:c r="R31" s="33" t="n">
        <x:f>Q31*(F31+H31+L31)+E31*(G31+I31)+J31+K31*3</x:f>
        <x:v>1870.4</x:v>
      </x:c>
      <x:c r="S31" s="33" t="n">
        <x:f>Q31-R31</x:f>
        <x:v>1609.6</x:v>
      </x:c>
      <x:c r="T31" s="25" t="n">
        <x:v>2</x:v>
      </x:c>
      <x:c r="U31" s="25" t="n">
        <x:v>5</x:v>
      </x:c>
      <x:c r="V31" s="33" t="n">
        <x:f>IFERROR(O31/((T31+U31)*52/12),0)</x:f>
        <x:v>1.62989010989011</x:v>
      </x:c>
      <x:c r="W31" s="25" t="str">
        <x:v>Editable hypothetical demand; not measured earnings. M12 adds overhead + triples acquisition spend. No owner wage/income tax.</x:v>
      </x:c>
    </x:row>
    <x:row r="32" ht="72" customHeight="1">
      <x:c r="A32" s="25" t="str">
        <x:v>O38</x:v>
      </x:c>
      <x:c r="B32" s="25" t="str">
        <x:v>Broken-link/media QA monitor</x:v>
      </x:c>
      <x:c r="C32" s="37" t="n">
        <x:v>39</x:v>
      </x:c>
      <x:c r="D32" s="35" t="n">
        <x:v>8</x:v>
      </x:c>
      <x:c r="E32" s="35" t="n">
        <x:v>120</x:v>
      </x:c>
      <x:c r="F32" s="39" t="n">
        <x:v>0.05</x:v>
      </x:c>
      <x:c r="G32" s="35" t="n">
        <x:v>0.75</x:v>
      </x:c>
      <x:c r="H32" s="39" t="n">
        <x:v>0.03</x:v>
      </x:c>
      <x:c r="I32" s="35" t="n">
        <x:v>5</x:v>
      </x:c>
      <x:c r="J32" s="35" t="n">
        <x:v>35</x:v>
      </x:c>
      <x:c r="K32" s="35" t="n">
        <x:v>75</x:v>
      </x:c>
      <x:c r="L32" s="39" t="n">
        <x:v>0.15</x:v>
      </x:c>
      <x:c r="M32" s="33" t="n">
        <x:f>C32*D32</x:f>
        <x:v>312</x:v>
      </x:c>
      <x:c r="N32" s="33" t="n">
        <x:f>M32*(F32+H32)+D32*(G32+I32)+J32+K32</x:f>
        <x:v>180.96</x:v>
      </x:c>
      <x:c r="O32" s="33" t="n">
        <x:f>M32-N32</x:f>
        <x:v>131.04</x:v>
      </x:c>
      <x:c r="P32" s="33" t="n">
        <x:f>-J32-K32</x:f>
        <x:v>-110</x:v>
      </x:c>
      <x:c r="Q32" s="33" t="n">
        <x:f>C32*E32</x:f>
        <x:v>4680</x:v>
      </x:c>
      <x:c r="R32" s="33" t="n">
        <x:f>Q32*(F32+H32+L32)+E32*(G32+I32)+J32+K32*3</x:f>
        <x:v>2026.3999999999999</x:v>
      </x:c>
      <x:c r="S32" s="33" t="n">
        <x:f>Q32-R32</x:f>
        <x:v>2653.6000000000004</x:v>
      </x:c>
      <x:c r="T32" s="25" t="n">
        <x:v>2</x:v>
      </x:c>
      <x:c r="U32" s="25" t="n">
        <x:v>5</x:v>
      </x:c>
      <x:c r="V32" s="33" t="n">
        <x:f>IFERROR(O32/((T32+U32)*52/12),0)</x:f>
        <x:v>4.32</x:v>
      </x:c>
      <x:c r="W32" s="25" t="str">
        <x:v>Editable hypothetical demand; not measured earnings. M12 adds overhead + triples acquisition spend. No owner wage/income tax.</x:v>
      </x:c>
    </x:row>
    <x:row r="33" ht="72" customHeight="1">
      <x:c r="A33" s="25" t="str">
        <x:v>O16</x:v>
      </x:c>
      <x:c r="B33" s="25" t="str">
        <x:v>Offline CSV mapping desktop tool</x:v>
      </x:c>
      <x:c r="C33" s="37" t="n">
        <x:v>59</x:v>
      </x:c>
      <x:c r="D33" s="35" t="n">
        <x:v>6</x:v>
      </x:c>
      <x:c r="E33" s="35" t="n">
        <x:v>80</x:v>
      </x:c>
      <x:c r="F33" s="39" t="n">
        <x:v>0.05</x:v>
      </x:c>
      <x:c r="G33" s="35" t="n">
        <x:v>0.75</x:v>
      </x:c>
      <x:c r="H33" s="39" t="n">
        <x:v>0.03</x:v>
      </x:c>
      <x:c r="I33" s="35" t="n">
        <x:v>2</x:v>
      </x:c>
      <x:c r="J33" s="35" t="n">
        <x:v>25</x:v>
      </x:c>
      <x:c r="K33" s="35" t="n">
        <x:v>60</x:v>
      </x:c>
      <x:c r="L33" s="39" t="n">
        <x:v>0.15</x:v>
      </x:c>
      <x:c r="M33" s="33" t="n">
        <x:f>C33*D33</x:f>
        <x:v>354</x:v>
      </x:c>
      <x:c r="N33" s="33" t="n">
        <x:f>M33*(F33+H33)+D33*(G33+I33)+J33+K33</x:f>
        <x:v>129.82</x:v>
      </x:c>
      <x:c r="O33" s="33" t="n">
        <x:f>M33-N33</x:f>
        <x:v>224.18</x:v>
      </x:c>
      <x:c r="P33" s="33" t="n">
        <x:f>-J33-K33</x:f>
        <x:v>-85</x:v>
      </x:c>
      <x:c r="Q33" s="33" t="n">
        <x:f>C33*E33</x:f>
        <x:v>4720</x:v>
      </x:c>
      <x:c r="R33" s="33" t="n">
        <x:f>Q33*(F33+H33+L33)+E33*(G33+I33)+J33+K33*3</x:f>
        <x:v>1510.6</x:v>
      </x:c>
      <x:c r="S33" s="33" t="n">
        <x:f>Q33-R33</x:f>
        <x:v>3209.4</x:v>
      </x:c>
      <x:c r="T33" s="25" t="n">
        <x:v>2</x:v>
      </x:c>
      <x:c r="U33" s="25" t="n">
        <x:v>4</x:v>
      </x:c>
      <x:c r="V33" s="33" t="n">
        <x:f>IFERROR(O33/((T33+U33)*52/12),0)</x:f>
        <x:v>8.622307692307693</x:v>
      </x:c>
      <x:c r="W33" s="25" t="str">
        <x:v>Editable hypothetical demand; not measured earnings. M12 adds overhead + triples acquisition spend. No owner wage/income tax.</x:v>
      </x:c>
    </x:row>
    <x:row r="34" ht="72" customHeight="1">
      <x:c r="A34" s="25" t="str">
        <x:v>O18</x:v>
      </x:c>
      <x:c r="B34" s="25" t="str">
        <x:v>Shopify restock-intent app</x:v>
      </x:c>
      <x:c r="C34" s="37" t="n">
        <x:v>29</x:v>
      </x:c>
      <x:c r="D34" s="35" t="n">
        <x:v>5</x:v>
      </x:c>
      <x:c r="E34" s="35" t="n">
        <x:v>150</x:v>
      </x:c>
      <x:c r="F34" s="39" t="n">
        <x:v>0.05</x:v>
      </x:c>
      <x:c r="G34" s="35" t="n">
        <x:v>0.75</x:v>
      </x:c>
      <x:c r="H34" s="39" t="n">
        <x:v>0.03</x:v>
      </x:c>
      <x:c r="I34" s="35" t="n">
        <x:v>6</x:v>
      </x:c>
      <x:c r="J34" s="35" t="n">
        <x:v>60</x:v>
      </x:c>
      <x:c r="K34" s="35" t="n">
        <x:v>120</x:v>
      </x:c>
      <x:c r="L34" s="39" t="n">
        <x:v>0.15</x:v>
      </x:c>
      <x:c r="M34" s="33" t="n">
        <x:f>C34*D34</x:f>
        <x:v>145</x:v>
      </x:c>
      <x:c r="N34" s="33" t="n">
        <x:f>M34*(F34+H34)+D34*(G34+I34)+J34+K34</x:f>
        <x:v>225.35</x:v>
      </x:c>
      <x:c r="O34" s="33" t="n">
        <x:f>M34-N34</x:f>
        <x:v>-80.35</x:v>
      </x:c>
      <x:c r="P34" s="33" t="n">
        <x:f>-J34-K34</x:f>
        <x:v>-180</x:v>
      </x:c>
      <x:c r="Q34" s="33" t="n">
        <x:f>C34*E34</x:f>
        <x:v>4350</x:v>
      </x:c>
      <x:c r="R34" s="33" t="n">
        <x:f>Q34*(F34+H34+L34)+E34*(G34+I34)+J34+K34*3</x:f>
        <x:v>2433</x:v>
      </x:c>
      <x:c r="S34" s="33" t="n">
        <x:f>Q34-R34</x:f>
        <x:v>1917</x:v>
      </x:c>
      <x:c r="T34" s="25" t="n">
        <x:v>3</x:v>
      </x:c>
      <x:c r="U34" s="25" t="n">
        <x:v>6</x:v>
      </x:c>
      <x:c r="V34" s="33" t="n">
        <x:f>IFERROR(O34/((T34+U34)*52/12),0)</x:f>
        <x:v>-2.06025641025641</x:v>
      </x:c>
      <x:c r="W34" s="25" t="str">
        <x:v>Editable hypothetical demand; not measured earnings. M12 adds overhead + triples acquisition spend. No owner wage/income tax.</x:v>
      </x:c>
    </x:row>
    <x:row r="35" ht="72" customHeight="1">
      <x:c r="A35" s="25" t="str">
        <x:v>O19</x:v>
      </x:c>
      <x:c r="B35" s="25" t="str">
        <x:v>WooCommerce supplier-sync plugin</x:v>
      </x:c>
      <x:c r="C35" s="37" t="n">
        <x:v>99</x:v>
      </x:c>
      <x:c r="D35" s="35" t="n">
        <x:v>5</x:v>
      </x:c>
      <x:c r="E35" s="35" t="n">
        <x:v>60</x:v>
      </x:c>
      <x:c r="F35" s="39" t="n">
        <x:v>0.05</x:v>
      </x:c>
      <x:c r="G35" s="35" t="n">
        <x:v>0.75</x:v>
      </x:c>
      <x:c r="H35" s="39" t="n">
        <x:v>0.03</x:v>
      </x:c>
      <x:c r="I35" s="35" t="n">
        <x:v>10</x:v>
      </x:c>
      <x:c r="J35" s="35" t="n">
        <x:v>50</x:v>
      </x:c>
      <x:c r="K35" s="35" t="n">
        <x:v>90</x:v>
      </x:c>
      <x:c r="L35" s="39" t="n">
        <x:v>0.15</x:v>
      </x:c>
      <x:c r="M35" s="33" t="n">
        <x:f>C35*D35</x:f>
        <x:v>495</x:v>
      </x:c>
      <x:c r="N35" s="33" t="n">
        <x:f>M35*(F35+H35)+D35*(G35+I35)+J35+K35</x:f>
        <x:v>233.35</x:v>
      </x:c>
      <x:c r="O35" s="33" t="n">
        <x:f>M35-N35</x:f>
        <x:v>261.65</x:v>
      </x:c>
      <x:c r="P35" s="33" t="n">
        <x:f>-J35-K35</x:f>
        <x:v>-140</x:v>
      </x:c>
      <x:c r="Q35" s="33" t="n">
        <x:f>C35*E35</x:f>
        <x:v>5940</x:v>
      </x:c>
      <x:c r="R35" s="33" t="n">
        <x:f>Q35*(F35+H35+L35)+E35*(G35+I35)+J35+K35*3</x:f>
        <x:v>2331.2</x:v>
      </x:c>
      <x:c r="S35" s="33" t="n">
        <x:f>Q35-R35</x:f>
        <x:v>3608.8</x:v>
      </x:c>
      <x:c r="T35" s="25" t="n">
        <x:v>3</x:v>
      </x:c>
      <x:c r="U35" s="25" t="n">
        <x:v>5</x:v>
      </x:c>
      <x:c r="V35" s="33" t="n">
        <x:f>IFERROR(O35/((T35+U35)*52/12),0)</x:f>
        <x:v>7.547596153846154</x:v>
      </x:c>
      <x:c r="W35" s="25" t="str">
        <x:v>Editable hypothetical demand; not measured earnings. M12 adds overhead + triples acquisition spend. No owner wage/income tax.</x:v>
      </x:c>
    </x:row>
    <x:row r="36" ht="72" customHeight="1">
      <x:c r="A36" s="25" t="str">
        <x:v>O20</x:v>
      </x:c>
      <x:c r="B36" s="25" t="str">
        <x:v>WordPress form-test plugin</x:v>
      </x:c>
      <x:c r="C36" s="37" t="n">
        <x:v>59</x:v>
      </x:c>
      <x:c r="D36" s="35" t="n">
        <x:v>5</x:v>
      </x:c>
      <x:c r="E36" s="35" t="n">
        <x:v>70</x:v>
      </x:c>
      <x:c r="F36" s="39" t="n">
        <x:v>0.05</x:v>
      </x:c>
      <x:c r="G36" s="35" t="n">
        <x:v>0.75</x:v>
      </x:c>
      <x:c r="H36" s="39" t="n">
        <x:v>0.03</x:v>
      </x:c>
      <x:c r="I36" s="35" t="n">
        <x:v>4</x:v>
      </x:c>
      <x:c r="J36" s="35" t="n">
        <x:v>40</x:v>
      </x:c>
      <x:c r="K36" s="35" t="n">
        <x:v>70</x:v>
      </x:c>
      <x:c r="L36" s="39" t="n">
        <x:v>0.15</x:v>
      </x:c>
      <x:c r="M36" s="33" t="n">
        <x:f>C36*D36</x:f>
        <x:v>295</x:v>
      </x:c>
      <x:c r="N36" s="33" t="n">
        <x:f>M36*(F36+H36)+D36*(G36+I36)+J36+K36</x:f>
        <x:v>157.35</x:v>
      </x:c>
      <x:c r="O36" s="33" t="n">
        <x:f>M36-N36</x:f>
        <x:v>137.65</x:v>
      </x:c>
      <x:c r="P36" s="33" t="n">
        <x:f>-J36-K36</x:f>
        <x:v>-110</x:v>
      </x:c>
      <x:c r="Q36" s="33" t="n">
        <x:f>C36*E36</x:f>
        <x:v>4130</x:v>
      </x:c>
      <x:c r="R36" s="33" t="n">
        <x:f>Q36*(F36+H36+L36)+E36*(G36+I36)+J36+K36*3</x:f>
        <x:v>1532.4</x:v>
      </x:c>
      <x:c r="S36" s="33" t="n">
        <x:f>Q36-R36</x:f>
        <x:v>2597.6</x:v>
      </x:c>
      <x:c r="T36" s="25" t="n">
        <x:v>2</x:v>
      </x:c>
      <x:c r="U36" s="25" t="n">
        <x:v>5</x:v>
      </x:c>
      <x:c r="V36" s="33" t="n">
        <x:f>IFERROR(O36/((T36+U36)*52/12),0)</x:f>
        <x:v>4.537912087912089</x:v>
      </x:c>
      <x:c r="W36" s="25" t="str">
        <x:v>Editable hypothetical demand; not measured earnings. M12 adds overhead + triples acquisition spend. No owner wage/income tax.</x:v>
      </x:c>
    </x:row>
    <x:row r="37" ht="72" customHeight="1">
      <x:c r="A37" s="25" t="str">
        <x:v>O23</x:v>
      </x:c>
      <x:c r="B37" s="25" t="str">
        <x:v>CI/release engineering starter</x:v>
      </x:c>
      <x:c r="C37" s="37" t="n">
        <x:v>59</x:v>
      </x:c>
      <x:c r="D37" s="35" t="n">
        <x:v>6</x:v>
      </x:c>
      <x:c r="E37" s="35" t="n">
        <x:v>70</x:v>
      </x:c>
      <x:c r="F37" s="39" t="n">
        <x:v>0.15</x:v>
      </x:c>
      <x:c r="G37" s="35" t="n">
        <x:v>0.75</x:v>
      </x:c>
      <x:c r="H37" s="39" t="n">
        <x:v>0.03</x:v>
      </x:c>
      <x:c r="I37" s="35" t="n">
        <x:v>1</x:v>
      </x:c>
      <x:c r="J37" s="35" t="n">
        <x:v>20</x:v>
      </x:c>
      <x:c r="K37" s="35" t="n">
        <x:v>60</x:v>
      </x:c>
      <x:c r="L37" s="39" t="n">
        <x:v>0.15</x:v>
      </x:c>
      <x:c r="M37" s="33" t="n">
        <x:f>C37*D37</x:f>
        <x:v>354</x:v>
      </x:c>
      <x:c r="N37" s="33" t="n">
        <x:f>M37*(F37+H37)+D37*(G37+I37)+J37+K37</x:f>
        <x:v>154.22</x:v>
      </x:c>
      <x:c r="O37" s="33" t="n">
        <x:f>M37-N37</x:f>
        <x:v>199.78</x:v>
      </x:c>
      <x:c r="P37" s="33" t="n">
        <x:f>-J37-K37</x:f>
        <x:v>-80</x:v>
      </x:c>
      <x:c r="Q37" s="33" t="n">
        <x:f>C37*E37</x:f>
        <x:v>4130</x:v>
      </x:c>
      <x:c r="R37" s="33" t="n">
        <x:f>Q37*(F37+H37+L37)+E37*(G37+I37)+J37+K37*3</x:f>
        <x:v>1685.3999999999999</x:v>
      </x:c>
      <x:c r="S37" s="33" t="n">
        <x:f>Q37-R37</x:f>
        <x:v>2444.6000000000004</x:v>
      </x:c>
      <x:c r="T37" s="25" t="n">
        <x:v>2</x:v>
      </x:c>
      <x:c r="U37" s="25" t="n">
        <x:v>4</x:v>
      </x:c>
      <x:c r="V37" s="33" t="n">
        <x:f>IFERROR(O37/((T37+U37)*52/12),0)</x:f>
        <x:v>7.6838461538461535</x:v>
      </x:c>
      <x:c r="W37" s="25" t="str">
        <x:v>Editable hypothetical demand; not measured earnings. M12 adds overhead + triples acquisition spend. No owner wage/income tax.</x:v>
      </x:c>
    </x:row>
    <x:row r="38" ht="72" customHeight="1">
      <x:c r="A38" s="25" t="str">
        <x:v>O33</x:v>
      </x:c>
      <x:c r="B38" s="25" t="str">
        <x:v>Website screenshot API</x:v>
      </x:c>
      <x:c r="C38" s="37" t="n">
        <x:v>39</x:v>
      </x:c>
      <x:c r="D38" s="35" t="n">
        <x:v>5</x:v>
      </x:c>
      <x:c r="E38" s="35" t="n">
        <x:v>120</x:v>
      </x:c>
      <x:c r="F38" s="39" t="n">
        <x:v>0.05</x:v>
      </x:c>
      <x:c r="G38" s="35" t="n">
        <x:v>0.75</x:v>
      </x:c>
      <x:c r="H38" s="39" t="n">
        <x:v>0.03</x:v>
      </x:c>
      <x:c r="I38" s="35" t="n">
        <x:v>10</x:v>
      </x:c>
      <x:c r="J38" s="35" t="n">
        <x:v>50</x:v>
      </x:c>
      <x:c r="K38" s="35" t="n">
        <x:v>90</x:v>
      </x:c>
      <x:c r="L38" s="39" t="n">
        <x:v>0.15</x:v>
      </x:c>
      <x:c r="M38" s="33" t="n">
        <x:f>C38*D38</x:f>
        <x:v>195</x:v>
      </x:c>
      <x:c r="N38" s="33" t="n">
        <x:f>M38*(F38+H38)+D38*(G38+I38)+J38+K38</x:f>
        <x:v>209.35</x:v>
      </x:c>
      <x:c r="O38" s="33" t="n">
        <x:f>M38-N38</x:f>
        <x:v>-14.349999999999994</x:v>
      </x:c>
      <x:c r="P38" s="33" t="n">
        <x:f>-J38-K38</x:f>
        <x:v>-140</x:v>
      </x:c>
      <x:c r="Q38" s="33" t="n">
        <x:f>C38*E38</x:f>
        <x:v>4680</x:v>
      </x:c>
      <x:c r="R38" s="33" t="n">
        <x:f>Q38*(F38+H38+L38)+E38*(G38+I38)+J38+K38*3</x:f>
        <x:v>2686.3999999999996</x:v>
      </x:c>
      <x:c r="S38" s="33" t="n">
        <x:f>Q38-R38</x:f>
        <x:v>1993.6000000000004</x:v>
      </x:c>
      <x:c r="T38" s="25" t="n">
        <x:v>3</x:v>
      </x:c>
      <x:c r="U38" s="25" t="n">
        <x:v>5</x:v>
      </x:c>
      <x:c r="V38" s="33" t="n">
        <x:f>IFERROR(O38/((T38+U38)*52/12),0)</x:f>
        <x:v>-0.41394230769230755</x:v>
      </x:c>
      <x:c r="W38" s="25" t="str">
        <x:v>Editable hypothetical demand; not measured earnings. M12 adds overhead + triples acquisition spend. No owner wage/income tax.</x:v>
      </x:c>
    </x:row>
    <x:row r="39" ht="72" customHeight="1">
      <x:c r="A39" s="25" t="str">
        <x:v>O35</x:v>
      </x:c>
      <x:c r="B39" s="25" t="str">
        <x:v>Shipping-label/barcode renderer</x:v>
      </x:c>
      <x:c r="C39" s="37" t="n">
        <x:v>39</x:v>
      </x:c>
      <x:c r="D39" s="35" t="n">
        <x:v>5</x:v>
      </x:c>
      <x:c r="E39" s="35" t="n">
        <x:v>100</x:v>
      </x:c>
      <x:c r="F39" s="39" t="n">
        <x:v>0.05</x:v>
      </x:c>
      <x:c r="G39" s="35" t="n">
        <x:v>0.75</x:v>
      </x:c>
      <x:c r="H39" s="39" t="n">
        <x:v>0.03</x:v>
      </x:c>
      <x:c r="I39" s="35" t="n">
        <x:v>5</x:v>
      </x:c>
      <x:c r="J39" s="35" t="n">
        <x:v>35</x:v>
      </x:c>
      <x:c r="K39" s="35" t="n">
        <x:v>80</x:v>
      </x:c>
      <x:c r="L39" s="39" t="n">
        <x:v>0.15</x:v>
      </x:c>
      <x:c r="M39" s="33" t="n">
        <x:f>C39*D39</x:f>
        <x:v>195</x:v>
      </x:c>
      <x:c r="N39" s="33" t="n">
        <x:f>M39*(F39+H39)+D39*(G39+I39)+J39+K39</x:f>
        <x:v>159.35</x:v>
      </x:c>
      <x:c r="O39" s="33" t="n">
        <x:f>M39-N39</x:f>
        <x:v>35.650000000000006</x:v>
      </x:c>
      <x:c r="P39" s="33" t="n">
        <x:f>-J39-K39</x:f>
        <x:v>-115</x:v>
      </x:c>
      <x:c r="Q39" s="33" t="n">
        <x:f>C39*E39</x:f>
        <x:v>3900</x:v>
      </x:c>
      <x:c r="R39" s="33" t="n">
        <x:f>Q39*(F39+H39+L39)+E39*(G39+I39)+J39+K39*3</x:f>
        <x:v>1747</x:v>
      </x:c>
      <x:c r="S39" s="33" t="n">
        <x:f>Q39-R39</x:f>
        <x:v>2153</x:v>
      </x:c>
      <x:c r="T39" s="25" t="n">
        <x:v>2</x:v>
      </x:c>
      <x:c r="U39" s="25" t="n">
        <x:v>5</x:v>
      </x:c>
      <x:c r="V39" s="33" t="n">
        <x:f>IFERROR(O39/((T39+U39)*52/12),0)</x:f>
        <x:v>1.1752747252747255</x:v>
      </x:c>
      <x:c r="W39" s="25" t="str">
        <x:v>Editable hypothetical demand; not measured earnings. M12 adds overhead + triples acquisition spend. No owner wage/income tax.</x:v>
      </x:c>
    </x:row>
    <x:row r="40" ht="72" customHeight="1">
      <x:c r="A40" s="25" t="str">
        <x:v>O36</x:v>
      </x:c>
      <x:c r="B40" s="25" t="str">
        <x:v>Niche media conversion API</x:v>
      </x:c>
      <x:c r="C40" s="37" t="n">
        <x:v>39</x:v>
      </x:c>
      <x:c r="D40" s="35" t="n">
        <x:v>5</x:v>
      </x:c>
      <x:c r="E40" s="35" t="n">
        <x:v>120</x:v>
      </x:c>
      <x:c r="F40" s="39" t="n">
        <x:v>0.05</x:v>
      </x:c>
      <x:c r="G40" s="35" t="n">
        <x:v>0.75</x:v>
      </x:c>
      <x:c r="H40" s="39" t="n">
        <x:v>0.03</x:v>
      </x:c>
      <x:c r="I40" s="35" t="n">
        <x:v>12</x:v>
      </x:c>
      <x:c r="J40" s="35" t="n">
        <x:v>50</x:v>
      </x:c>
      <x:c r="K40" s="35" t="n">
        <x:v>90</x:v>
      </x:c>
      <x:c r="L40" s="39" t="n">
        <x:v>0.15</x:v>
      </x:c>
      <x:c r="M40" s="33" t="n">
        <x:f>C40*D40</x:f>
        <x:v>195</x:v>
      </x:c>
      <x:c r="N40" s="33" t="n">
        <x:f>M40*(F40+H40)+D40*(G40+I40)+J40+K40</x:f>
        <x:v>219.35</x:v>
      </x:c>
      <x:c r="O40" s="33" t="n">
        <x:f>M40-N40</x:f>
        <x:v>-24.349999999999994</x:v>
      </x:c>
      <x:c r="P40" s="33" t="n">
        <x:f>-J40-K40</x:f>
        <x:v>-140</x:v>
      </x:c>
      <x:c r="Q40" s="33" t="n">
        <x:f>C40*E40</x:f>
        <x:v>4680</x:v>
      </x:c>
      <x:c r="R40" s="33" t="n">
        <x:f>Q40*(F40+H40+L40)+E40*(G40+I40)+J40+K40*3</x:f>
        <x:v>2926.3999999999996</x:v>
      </x:c>
      <x:c r="S40" s="33" t="n">
        <x:f>Q40-R40</x:f>
        <x:v>1753.6000000000004</x:v>
      </x:c>
      <x:c r="T40" s="25" t="n">
        <x:v>3</x:v>
      </x:c>
      <x:c r="U40" s="25" t="n">
        <x:v>5</x:v>
      </x:c>
      <x:c r="V40" s="33" t="n">
        <x:f>IFERROR(O40/((T40+U40)*52/12),0)</x:f>
        <x:v>-0.702403846153846</x:v>
      </x:c>
      <x:c r="W40" s="25" t="str">
        <x:v>Editable hypothetical demand; not measured earnings. M12 adds overhead + triples acquisition spend. No owner wage/income tax.</x:v>
      </x:c>
    </x:row>
    <x:row r="41" ht="72" customHeight="1">
      <x:c r="A41" s="25" t="str">
        <x:v>O39</x:v>
      </x:c>
      <x:c r="B41" s="25" t="str">
        <x:v>API schema-drift alerts</x:v>
      </x:c>
      <x:c r="C41" s="37" t="n">
        <x:v>59</x:v>
      </x:c>
      <x:c r="D41" s="35" t="n">
        <x:v>5</x:v>
      </x:c>
      <x:c r="E41" s="35" t="n">
        <x:v>100</x:v>
      </x:c>
      <x:c r="F41" s="39" t="n">
        <x:v>0.05</x:v>
      </x:c>
      <x:c r="G41" s="35" t="n">
        <x:v>0.75</x:v>
      </x:c>
      <x:c r="H41" s="39" t="n">
        <x:v>0.03</x:v>
      </x:c>
      <x:c r="I41" s="35" t="n">
        <x:v>8</x:v>
      </x:c>
      <x:c r="J41" s="35" t="n">
        <x:v>45</x:v>
      </x:c>
      <x:c r="K41" s="35" t="n">
        <x:v>85</x:v>
      </x:c>
      <x:c r="L41" s="39" t="n">
        <x:v>0.15</x:v>
      </x:c>
      <x:c r="M41" s="33" t="n">
        <x:f>C41*D41</x:f>
        <x:v>295</x:v>
      </x:c>
      <x:c r="N41" s="33" t="n">
        <x:f>M41*(F41+H41)+D41*(G41+I41)+J41+K41</x:f>
        <x:v>197.35</x:v>
      </x:c>
      <x:c r="O41" s="33" t="n">
        <x:f>M41-N41</x:f>
        <x:v>97.65</x:v>
      </x:c>
      <x:c r="P41" s="33" t="n">
        <x:f>-J41-K41</x:f>
        <x:v>-130</x:v>
      </x:c>
      <x:c r="Q41" s="33" t="n">
        <x:f>C41*E41</x:f>
        <x:v>5900</x:v>
      </x:c>
      <x:c r="R41" s="33" t="n">
        <x:f>Q41*(F41+H41+L41)+E41*(G41+I41)+J41+K41*3</x:f>
        <x:v>2532</x:v>
      </x:c>
      <x:c r="S41" s="33" t="n">
        <x:f>Q41-R41</x:f>
        <x:v>3368</x:v>
      </x:c>
      <x:c r="T41" s="25" t="n">
        <x:v>2</x:v>
      </x:c>
      <x:c r="U41" s="25" t="n">
        <x:v>5</x:v>
      </x:c>
      <x:c r="V41" s="33" t="n">
        <x:f>IFERROR(O41/((T41+U41)*52/12),0)</x:f>
        <x:v>3.2192307692307693</x:v>
      </x:c>
      <x:c r="W41" s="25" t="str">
        <x:v>Editable hypothetical demand; not measured earnings. M12 adds overhead + triples acquisition spend. No owner wage/income tax.</x:v>
      </x:c>
    </x:row>
    <x:row r="42" ht="72" customHeight="1">
      <x:c r="A42" s="25" t="str">
        <x:v>O52</x:v>
      </x:c>
      <x:c r="B42" s="25" t="str">
        <x:v>Booking-reminder workflow setup</x:v>
      </x:c>
      <x:c r="C42" s="37" t="n">
        <x:v>299</x:v>
      </x:c>
      <x:c r="D42" s="35" t="n">
        <x:v>3</x:v>
      </x:c>
      <x:c r="E42" s="35" t="n">
        <x:v>10</x:v>
      </x:c>
      <x:c r="F42" s="39" t="n">
        <x:v>0.1</x:v>
      </x:c>
      <x:c r="G42" s="35" t="n">
        <x:v>0.3</x:v>
      </x:c>
      <x:c r="H42" s="39" t="n">
        <x:v>0.03</x:v>
      </x:c>
      <x:c r="I42" s="35" t="n">
        <x:v>10</x:v>
      </x:c>
      <x:c r="J42" s="35" t="n">
        <x:v>25</x:v>
      </x:c>
      <x:c r="K42" s="35" t="n">
        <x:v>70</x:v>
      </x:c>
      <x:c r="L42" s="39" t="n">
        <x:v>0.15</x:v>
      </x:c>
      <x:c r="M42" s="33" t="n">
        <x:f>C42*D42</x:f>
        <x:v>897</x:v>
      </x:c>
      <x:c r="N42" s="33" t="n">
        <x:f>M42*(F42+H42)+D42*(G42+I42)+J42+K42</x:f>
        <x:v>242.51</x:v>
      </x:c>
      <x:c r="O42" s="33" t="n">
        <x:f>M42-N42</x:f>
        <x:v>654.49</x:v>
      </x:c>
      <x:c r="P42" s="33" t="n">
        <x:f>-J42-K42</x:f>
        <x:v>-95</x:v>
      </x:c>
      <x:c r="Q42" s="33" t="n">
        <x:f>C42*E42</x:f>
        <x:v>2990</x:v>
      </x:c>
      <x:c r="R42" s="33" t="n">
        <x:f>Q42*(F42+H42+L42)+E42*(G42+I42)+J42+K42*3</x:f>
        <x:v>1175.2</x:v>
      </x:c>
      <x:c r="S42" s="33" t="n">
        <x:f>Q42-R42</x:f>
        <x:v>1814.8</x:v>
      </x:c>
      <x:c r="T42" s="25" t="n">
        <x:v>3</x:v>
      </x:c>
      <x:c r="U42" s="25" t="n">
        <x:v>4</x:v>
      </x:c>
      <x:c r="V42" s="33" t="n">
        <x:f>IFERROR(O42/((T42+U42)*52/12),0)</x:f>
        <x:v>21.576593406593407</x:v>
      </x:c>
      <x:c r="W42" s="25" t="str">
        <x:v>Editable hypothetical demand; not measured earnings. M12 adds overhead + triples acquisition spend. No owner wage/income tax.</x:v>
      </x:c>
    </x:row>
    <x:row r="43" ht="72" customHeight="1">
      <x:c r="A43" s="25" t="str">
        <x:v>O54</x:v>
      </x:c>
      <x:c r="B43" s="25" t="str">
        <x:v>Consented quote-follow-up setup</x:v>
      </x:c>
      <x:c r="C43" s="37" t="n">
        <x:v>399</x:v>
      </x:c>
      <x:c r="D43" s="35" t="n">
        <x:v>2</x:v>
      </x:c>
      <x:c r="E43" s="35" t="n">
        <x:v>8</x:v>
      </x:c>
      <x:c r="F43" s="39" t="n">
        <x:v>0.1</x:v>
      </x:c>
      <x:c r="G43" s="35" t="n">
        <x:v>0.3</x:v>
      </x:c>
      <x:c r="H43" s="39" t="n">
        <x:v>0.03</x:v>
      </x:c>
      <x:c r="I43" s="35" t="n">
        <x:v>10</x:v>
      </x:c>
      <x:c r="J43" s="35" t="n">
        <x:v>30</x:v>
      </x:c>
      <x:c r="K43" s="35" t="n">
        <x:v>70</x:v>
      </x:c>
      <x:c r="L43" s="39" t="n">
        <x:v>0.15</x:v>
      </x:c>
      <x:c r="M43" s="33" t="n">
        <x:f>C43*D43</x:f>
        <x:v>798</x:v>
      </x:c>
      <x:c r="N43" s="33" t="n">
        <x:f>M43*(F43+H43)+D43*(G43+I43)+J43+K43</x:f>
        <x:v>224.34</x:v>
      </x:c>
      <x:c r="O43" s="33" t="n">
        <x:f>M43-N43</x:f>
        <x:v>573.66</x:v>
      </x:c>
      <x:c r="P43" s="33" t="n">
        <x:f>-J43-K43</x:f>
        <x:v>-100</x:v>
      </x:c>
      <x:c r="Q43" s="33" t="n">
        <x:f>C43*E43</x:f>
        <x:v>3192</x:v>
      </x:c>
      <x:c r="R43" s="33" t="n">
        <x:f>Q43*(F43+H43+L43)+E43*(G43+I43)+J43+K43*3</x:f>
        <x:v>1216.16</x:v>
      </x:c>
      <x:c r="S43" s="33" t="n">
        <x:f>Q43-R43</x:f>
        <x:v>1975.84</x:v>
      </x:c>
      <x:c r="T43" s="25" t="n">
        <x:v>3</x:v>
      </x:c>
      <x:c r="U43" s="25" t="n">
        <x:v>4</x:v>
      </x:c>
      <x:c r="V43" s="33" t="n">
        <x:f>IFERROR(O43/((T43+U43)*52/12),0)</x:f>
        <x:v>18.911868131868133</x:v>
      </x:c>
      <x:c r="W43" s="25" t="str">
        <x:v>Editable hypothetical demand; not measured earnings. M12 adds overhead + triples acquisition spend. No owner wage/income tax.</x:v>
      </x:c>
    </x:row>
    <x:row r="44" ht="72" customHeight="1">
      <x:c r="A44" s="25" t="str">
        <x:v>O60</x:v>
      </x:c>
      <x:c r="B44" s="25" t="str">
        <x:v>Packaging/material calculation utility</x:v>
      </x:c>
      <x:c r="C44" s="37" t="n">
        <x:v>29</x:v>
      </x:c>
      <x:c r="D44" s="35" t="n">
        <x:v>6</x:v>
      </x:c>
      <x:c r="E44" s="35" t="n">
        <x:v>100</x:v>
      </x:c>
      <x:c r="F44" s="39" t="n">
        <x:v>0.05</x:v>
      </x:c>
      <x:c r="G44" s="35" t="n">
        <x:v>0.75</x:v>
      </x:c>
      <x:c r="H44" s="39" t="n">
        <x:v>0.03</x:v>
      </x:c>
      <x:c r="I44" s="35" t="n">
        <x:v>1</x:v>
      </x:c>
      <x:c r="J44" s="35" t="n">
        <x:v>15</x:v>
      </x:c>
      <x:c r="K44" s="35" t="n">
        <x:v>60</x:v>
      </x:c>
      <x:c r="L44" s="39" t="n">
        <x:v>0.15</x:v>
      </x:c>
      <x:c r="M44" s="33" t="n">
        <x:f>C44*D44</x:f>
        <x:v>174</x:v>
      </x:c>
      <x:c r="N44" s="33" t="n">
        <x:f>M44*(F44+H44)+D44*(G44+I44)+J44+K44</x:f>
        <x:v>99.42</x:v>
      </x:c>
      <x:c r="O44" s="33" t="n">
        <x:f>M44-N44</x:f>
        <x:v>74.58</x:v>
      </x:c>
      <x:c r="P44" s="33" t="n">
        <x:f>-J44-K44</x:f>
        <x:v>-75</x:v>
      </x:c>
      <x:c r="Q44" s="33" t="n">
        <x:f>C44*E44</x:f>
        <x:v>2900</x:v>
      </x:c>
      <x:c r="R44" s="33" t="n">
        <x:f>Q44*(F44+H44+L44)+E44*(G44+I44)+J44+K44*3</x:f>
        <x:v>1037</x:v>
      </x:c>
      <x:c r="S44" s="33" t="n">
        <x:f>Q44-R44</x:f>
        <x:v>1863</x:v>
      </x:c>
      <x:c r="T44" s="25" t="n">
        <x:v>2</x:v>
      </x:c>
      <x:c r="U44" s="25" t="n">
        <x:v>4</x:v>
      </x:c>
      <x:c r="V44" s="33" t="n">
        <x:f>IFERROR(O44/((T44+U44)*52/12),0)</x:f>
        <x:v>2.8684615384615384</x:v>
      </x:c>
      <x:c r="W44" s="25" t="str">
        <x:v>Editable hypothetical demand; not measured earnings. M12 adds overhead + triples acquisition spend. No owner wage/income tax.</x:v>
      </x:c>
    </x:row>
    <x:row r="45" ht="72" customHeight="1">
      <x:c r="A45" s="25" t="str">
        <x:v>O29</x:v>
      </x:c>
      <x:c r="B45" s="25" t="str">
        <x:v>Trade-specific printable operations kit</x:v>
      </x:c>
      <x:c r="C45" s="37" t="n">
        <x:v>19</x:v>
      </x:c>
      <x:c r="D45" s="35" t="n">
        <x:v>8</x:v>
      </x:c>
      <x:c r="E45" s="35" t="n">
        <x:v>100</x:v>
      </x:c>
      <x:c r="F45" s="39" t="n">
        <x:v>0.15</x:v>
      </x:c>
      <x:c r="G45" s="35" t="n">
        <x:v>0.75</x:v>
      </x:c>
      <x:c r="H45" s="39" t="n">
        <x:v>0.03</x:v>
      </x:c>
      <x:c r="I45" s="35" t="n">
        <x:v>0.5</x:v>
      </x:c>
      <x:c r="J45" s="35" t="n">
        <x:v>10</x:v>
      </x:c>
      <x:c r="K45" s="35" t="n">
        <x:v>40</x:v>
      </x:c>
      <x:c r="L45" s="39" t="n">
        <x:v>0.15</x:v>
      </x:c>
      <x:c r="M45" s="33" t="n">
        <x:f>C45*D45</x:f>
        <x:v>152</x:v>
      </x:c>
      <x:c r="N45" s="33" t="n">
        <x:f>M45*(F45+H45)+D45*(G45+I45)+J45+K45</x:f>
        <x:v>87.36</x:v>
      </x:c>
      <x:c r="O45" s="33" t="n">
        <x:f>M45-N45</x:f>
        <x:v>64.64</x:v>
      </x:c>
      <x:c r="P45" s="33" t="n">
        <x:f>-J45-K45</x:f>
        <x:v>-50</x:v>
      </x:c>
      <x:c r="Q45" s="33" t="n">
        <x:f>C45*E45</x:f>
        <x:v>1900</x:v>
      </x:c>
      <x:c r="R45" s="33" t="n">
        <x:f>Q45*(F45+H45+L45)+E45*(G45+I45)+J45+K45*3</x:f>
        <x:v>881.9999999999999</x:v>
      </x:c>
      <x:c r="S45" s="33" t="n">
        <x:f>Q45-R45</x:f>
        <x:v>1018.0000000000001</x:v>
      </x:c>
      <x:c r="T45" s="25" t="n">
        <x:v>1</x:v>
      </x:c>
      <x:c r="U45" s="25" t="n">
        <x:v>4</x:v>
      </x:c>
      <x:c r="V45" s="33" t="n">
        <x:f>IFERROR(O45/((T45+U45)*52/12),0)</x:f>
        <x:v>2.9833846153846153</x:v>
      </x:c>
      <x:c r="W45" s="25" t="str">
        <x:v>Editable hypothetical demand; not measured earnings. M12 adds overhead + triples acquisition spend. No owner wage/income tax.</x:v>
      </x:c>
    </x:row>
    <x:row r="46" ht="72" customHeight="1">
      <x:c r="A46" s="25" t="str">
        <x:v>O30</x:v>
      </x:c>
      <x:c r="B46" s="25" t="str">
        <x:v>Niche Notion operations template</x:v>
      </x:c>
      <x:c r="C46" s="37" t="n">
        <x:v>29</x:v>
      </x:c>
      <x:c r="D46" s="35" t="n">
        <x:v>6</x:v>
      </x:c>
      <x:c r="E46" s="35" t="n">
        <x:v>90</x:v>
      </x:c>
      <x:c r="F46" s="39" t="n">
        <x:v>0.15</x:v>
      </x:c>
      <x:c r="G46" s="35" t="n">
        <x:v>0.75</x:v>
      </x:c>
      <x:c r="H46" s="39" t="n">
        <x:v>0.03</x:v>
      </x:c>
      <x:c r="I46" s="35" t="n">
        <x:v>0.5</x:v>
      </x:c>
      <x:c r="J46" s="35" t="n">
        <x:v>10</x:v>
      </x:c>
      <x:c r="K46" s="35" t="n">
        <x:v>40</x:v>
      </x:c>
      <x:c r="L46" s="39" t="n">
        <x:v>0.15</x:v>
      </x:c>
      <x:c r="M46" s="33" t="n">
        <x:f>C46*D46</x:f>
        <x:v>174</x:v>
      </x:c>
      <x:c r="N46" s="33" t="n">
        <x:f>M46*(F46+H46)+D46*(G46+I46)+J46+K46</x:f>
        <x:v>88.82</x:v>
      </x:c>
      <x:c r="O46" s="33" t="n">
        <x:f>M46-N46</x:f>
        <x:v>85.18</x:v>
      </x:c>
      <x:c r="P46" s="33" t="n">
        <x:f>-J46-K46</x:f>
        <x:v>-50</x:v>
      </x:c>
      <x:c r="Q46" s="33" t="n">
        <x:f>C46*E46</x:f>
        <x:v>2610</x:v>
      </x:c>
      <x:c r="R46" s="33" t="n">
        <x:f>Q46*(F46+H46+L46)+E46*(G46+I46)+J46+K46*3</x:f>
        <x:v>1103.7999999999997</x:v>
      </x:c>
      <x:c r="S46" s="33" t="n">
        <x:f>Q46-R46</x:f>
        <x:v>1506.2000000000003</x:v>
      </x:c>
      <x:c r="T46" s="25" t="n">
        <x:v>1</x:v>
      </x:c>
      <x:c r="U46" s="25" t="n">
        <x:v>4</x:v>
      </x:c>
      <x:c r="V46" s="33" t="n">
        <x:f>IFERROR(O46/((T46+U46)*52/12),0)</x:f>
        <x:v>3.9313846153846157</x:v>
      </x:c>
      <x:c r="W46" s="25" t="str">
        <x:v>Editable hypothetical demand; not measured earnings. M12 adds overhead + triples acquisition spend. No owner wage/income tax.</x:v>
      </x:c>
    </x:row>
    <x:row r="47" ht="72" customHeight="1">
      <x:c r="A47" s="25" t="str">
        <x:v>O17</x:v>
      </x:c>
      <x:c r="B47" s="25" t="str">
        <x:v>Client approval portal</x:v>
      </x:c>
      <x:c r="C47" s="37" t="n">
        <x:v>39</x:v>
      </x:c>
      <x:c r="D47" s="35" t="n">
        <x:v>5</x:v>
      </x:c>
      <x:c r="E47" s="35" t="n">
        <x:v>100</x:v>
      </x:c>
      <x:c r="F47" s="39" t="n">
        <x:v>0.05</x:v>
      </x:c>
      <x:c r="G47" s="35" t="n">
        <x:v>0.75</x:v>
      </x:c>
      <x:c r="H47" s="39" t="n">
        <x:v>0.03</x:v>
      </x:c>
      <x:c r="I47" s="35" t="n">
        <x:v>5</x:v>
      </x:c>
      <x:c r="J47" s="35" t="n">
        <x:v>50</x:v>
      </x:c>
      <x:c r="K47" s="35" t="n">
        <x:v>100</x:v>
      </x:c>
      <x:c r="L47" s="39" t="n">
        <x:v>0.15</x:v>
      </x:c>
      <x:c r="M47" s="33" t="n">
        <x:f>C47*D47</x:f>
        <x:v>195</x:v>
      </x:c>
      <x:c r="N47" s="33" t="n">
        <x:f>M47*(F47+H47)+D47*(G47+I47)+J47+K47</x:f>
        <x:v>194.35</x:v>
      </x:c>
      <x:c r="O47" s="33" t="n">
        <x:f>M47-N47</x:f>
        <x:v>0.6500000000000057</x:v>
      </x:c>
      <x:c r="P47" s="33" t="n">
        <x:f>-J47-K47</x:f>
        <x:v>-150</x:v>
      </x:c>
      <x:c r="Q47" s="33" t="n">
        <x:f>C47*E47</x:f>
        <x:v>3900</x:v>
      </x:c>
      <x:c r="R47" s="33" t="n">
        <x:f>Q47*(F47+H47+L47)+E47*(G47+I47)+J47+K47*3</x:f>
        <x:v>1822</x:v>
      </x:c>
      <x:c r="S47" s="33" t="n">
        <x:f>Q47-R47</x:f>
        <x:v>2078</x:v>
      </x:c>
      <x:c r="T47" s="25" t="n">
        <x:v>2</x:v>
      </x:c>
      <x:c r="U47" s="25" t="n">
        <x:v>5</x:v>
      </x:c>
      <x:c r="V47" s="33" t="n">
        <x:f>IFERROR(O47/((T47+U47)*52/12),0)</x:f>
        <x:v>0.021428571428571616</x:v>
      </x:c>
      <x:c r="W47" s="25" t="str">
        <x:v>Editable hypothetical demand; not measured earnings. M12 adds overhead + triples acquisition spend. No owner wage/income tax.</x:v>
      </x:c>
    </x:row>
    <x:row r="48" ht="72" customHeight="1">
      <x:c r="A48" s="25" t="str">
        <x:v>O21</x:v>
      </x:c>
      <x:c r="B48" s="25" t="str">
        <x:v>Local-first browser form assistant</x:v>
      </x:c>
      <x:c r="C48" s="37" t="n">
        <x:v>29</x:v>
      </x:c>
      <x:c r="D48" s="35" t="n">
        <x:v>5</x:v>
      </x:c>
      <x:c r="E48" s="35" t="n">
        <x:v>100</x:v>
      </x:c>
      <x:c r="F48" s="39" t="n">
        <x:v>0.05</x:v>
      </x:c>
      <x:c r="G48" s="35" t="n">
        <x:v>0.75</x:v>
      </x:c>
      <x:c r="H48" s="39" t="n">
        <x:v>0.03</x:v>
      </x:c>
      <x:c r="I48" s="35" t="n">
        <x:v>2</x:v>
      </x:c>
      <x:c r="J48" s="35" t="n">
        <x:v>30</x:v>
      </x:c>
      <x:c r="K48" s="35" t="n">
        <x:v>70</x:v>
      </x:c>
      <x:c r="L48" s="39" t="n">
        <x:v>0.15</x:v>
      </x:c>
      <x:c r="M48" s="33" t="n">
        <x:f>C48*D48</x:f>
        <x:v>145</x:v>
      </x:c>
      <x:c r="N48" s="33" t="n">
        <x:f>M48*(F48+H48)+D48*(G48+I48)+J48+K48</x:f>
        <x:v>125.35</x:v>
      </x:c>
      <x:c r="O48" s="33" t="n">
        <x:f>M48-N48</x:f>
        <x:v>19.650000000000006</x:v>
      </x:c>
      <x:c r="P48" s="33" t="n">
        <x:f>-J48-K48</x:f>
        <x:v>-100</x:v>
      </x:c>
      <x:c r="Q48" s="33" t="n">
        <x:f>C48*E48</x:f>
        <x:v>2900</x:v>
      </x:c>
      <x:c r="R48" s="33" t="n">
        <x:f>Q48*(F48+H48+L48)+E48*(G48+I48)+J48+K48*3</x:f>
        <x:v>1182</x:v>
      </x:c>
      <x:c r="S48" s="33" t="n">
        <x:f>Q48-R48</x:f>
        <x:v>1718</x:v>
      </x:c>
      <x:c r="T48" s="25" t="n">
        <x:v>2</x:v>
      </x:c>
      <x:c r="U48" s="25" t="n">
        <x:v>5</x:v>
      </x:c>
      <x:c r="V48" s="33" t="n">
        <x:f>IFERROR(O48/((T48+U48)*52/12),0)</x:f>
        <x:v>0.647802197802198</x:v>
      </x:c>
      <x:c r="W48" s="25" t="str">
        <x:v>Editable hypothetical demand; not measured earnings. M12 adds overhead + triples acquisition spend. No owner wage/income tax.</x:v>
      </x:c>
    </x:row>
    <x:row r="49" ht="72" customHeight="1">
      <x:c r="A49" s="25" t="str">
        <x:v>O22</x:v>
      </x:c>
      <x:c r="B49" s="25" t="str">
        <x:v>VS Code schema validator</x:v>
      </x:c>
      <x:c r="C49" s="37" t="n">
        <x:v>39</x:v>
      </x:c>
      <x:c r="D49" s="35" t="n">
        <x:v>5</x:v>
      </x:c>
      <x:c r="E49" s="35" t="n">
        <x:v>70</x:v>
      </x:c>
      <x:c r="F49" s="39" t="n">
        <x:v>0.05</x:v>
      </x:c>
      <x:c r="G49" s="35" t="n">
        <x:v>0.75</x:v>
      </x:c>
      <x:c r="H49" s="39" t="n">
        <x:v>0.03</x:v>
      </x:c>
      <x:c r="I49" s="35" t="n">
        <x:v>1</x:v>
      </x:c>
      <x:c r="J49" s="35" t="n">
        <x:v>20</x:v>
      </x:c>
      <x:c r="K49" s="35" t="n">
        <x:v>60</x:v>
      </x:c>
      <x:c r="L49" s="39" t="n">
        <x:v>0.15</x:v>
      </x:c>
      <x:c r="M49" s="33" t="n">
        <x:f>C49*D49</x:f>
        <x:v>195</x:v>
      </x:c>
      <x:c r="N49" s="33" t="n">
        <x:f>M49*(F49+H49)+D49*(G49+I49)+J49+K49</x:f>
        <x:v>104.35</x:v>
      </x:c>
      <x:c r="O49" s="33" t="n">
        <x:f>M49-N49</x:f>
        <x:v>90.65</x:v>
      </x:c>
      <x:c r="P49" s="33" t="n">
        <x:f>-J49-K49</x:f>
        <x:v>-80</x:v>
      </x:c>
      <x:c r="Q49" s="33" t="n">
        <x:f>C49*E49</x:f>
        <x:v>2730</x:v>
      </x:c>
      <x:c r="R49" s="33" t="n">
        <x:f>Q49*(F49+H49+L49)+E49*(G49+I49)+J49+K49*3</x:f>
        <x:v>950.4</x:v>
      </x:c>
      <x:c r="S49" s="33" t="n">
        <x:f>Q49-R49</x:f>
        <x:v>1779.6</x:v>
      </x:c>
      <x:c r="T49" s="25" t="n">
        <x:v>2</x:v>
      </x:c>
      <x:c r="U49" s="25" t="n">
        <x:v>5</x:v>
      </x:c>
      <x:c r="V49" s="33" t="n">
        <x:f>IFERROR(O49/((T49+U49)*52/12),0)</x:f>
        <x:v>2.988461538461539</x:v>
      </x:c>
      <x:c r="W49" s="25" t="str">
        <x:v>Editable hypothetical demand; not measured earnings. M12 adds overhead + triples acquisition spend. No owner wage/income tax.</x:v>
      </x:c>
    </x:row>
    <x:row r="50" ht="72" customHeight="1">
      <x:c r="A50" s="25" t="str">
        <x:v>O40</x:v>
      </x:c>
      <x:c r="B50" s="25" t="str">
        <x:v>Licensed public-tender digest</x:v>
      </x:c>
      <x:c r="C50" s="37" t="n">
        <x:v>49</x:v>
      </x:c>
      <x:c r="D50" s="35" t="n">
        <x:v>6</x:v>
      </x:c>
      <x:c r="E50" s="35" t="n">
        <x:v>100</x:v>
      </x:c>
      <x:c r="F50" s="39" t="n">
        <x:v>0.05</x:v>
      </x:c>
      <x:c r="G50" s="35" t="n">
        <x:v>0.75</x:v>
      </x:c>
      <x:c r="H50" s="39" t="n">
        <x:v>0.03</x:v>
      </x:c>
      <x:c r="I50" s="35" t="n">
        <x:v>5</x:v>
      </x:c>
      <x:c r="J50" s="35" t="n">
        <x:v>40</x:v>
      </x:c>
      <x:c r="K50" s="35" t="n">
        <x:v>85</x:v>
      </x:c>
      <x:c r="L50" s="39" t="n">
        <x:v>0.15</x:v>
      </x:c>
      <x:c r="M50" s="33" t="n">
        <x:f>C50*D50</x:f>
        <x:v>294</x:v>
      </x:c>
      <x:c r="N50" s="33" t="n">
        <x:f>M50*(F50+H50)+D50*(G50+I50)+J50+K50</x:f>
        <x:v>183.01999999999998</x:v>
      </x:c>
      <x:c r="O50" s="33" t="n">
        <x:f>M50-N50</x:f>
        <x:v>110.98000000000002</x:v>
      </x:c>
      <x:c r="P50" s="33" t="n">
        <x:f>-J50-K50</x:f>
        <x:v>-125</x:v>
      </x:c>
      <x:c r="Q50" s="33" t="n">
        <x:f>C50*E50</x:f>
        <x:v>4900</x:v>
      </x:c>
      <x:c r="R50" s="33" t="n">
        <x:f>Q50*(F50+H50+L50)+E50*(G50+I50)+J50+K50*3</x:f>
        <x:v>1997</x:v>
      </x:c>
      <x:c r="S50" s="33" t="n">
        <x:f>Q50-R50</x:f>
        <x:v>2903</x:v>
      </x:c>
      <x:c r="T50" s="25" t="n">
        <x:v>3</x:v>
      </x:c>
      <x:c r="U50" s="25" t="n">
        <x:v>5</x:v>
      </x:c>
      <x:c r="V50" s="33" t="n">
        <x:f>IFERROR(O50/((T50+U50)*52/12),0)</x:f>
        <x:v>3.2013461538461545</x:v>
      </x:c>
      <x:c r="W50" s="25" t="str">
        <x:v>Editable hypothetical demand; not measured earnings. M12 adds overhead + triples acquisition spend. No owner wage/income tax.</x:v>
      </x:c>
    </x:row>
    <x:row r="51" ht="72" customHeight="1">
      <x:c r="A51" s="25" t="str">
        <x:v>O41</x:v>
      </x:c>
      <x:c r="B51" s="25" t="str">
        <x:v>Grant-discovery digest</x:v>
      </x:c>
      <x:c r="C51" s="37" t="n">
        <x:v>29</x:v>
      </x:c>
      <x:c r="D51" s="35" t="n">
        <x:v>5</x:v>
      </x:c>
      <x:c r="E51" s="35" t="n">
        <x:v>100</x:v>
      </x:c>
      <x:c r="F51" s="39" t="n">
        <x:v>0.05</x:v>
      </x:c>
      <x:c r="G51" s="35" t="n">
        <x:v>0.75</x:v>
      </x:c>
      <x:c r="H51" s="39" t="n">
        <x:v>0.03</x:v>
      </x:c>
      <x:c r="I51" s="35" t="n">
        <x:v>4</x:v>
      </x:c>
      <x:c r="J51" s="35" t="n">
        <x:v>30</x:v>
      </x:c>
      <x:c r="K51" s="35" t="n">
        <x:v>75</x:v>
      </x:c>
      <x:c r="L51" s="39" t="n">
        <x:v>0.15</x:v>
      </x:c>
      <x:c r="M51" s="33" t="n">
        <x:f>C51*D51</x:f>
        <x:v>145</x:v>
      </x:c>
      <x:c r="N51" s="33" t="n">
        <x:f>M51*(F51+H51)+D51*(G51+I51)+J51+K51</x:f>
        <x:v>140.35</x:v>
      </x:c>
      <x:c r="O51" s="33" t="n">
        <x:f>M51-N51</x:f>
        <x:v>4.650000000000006</x:v>
      </x:c>
      <x:c r="P51" s="33" t="n">
        <x:f>-J51-K51</x:f>
        <x:v>-105</x:v>
      </x:c>
      <x:c r="Q51" s="33" t="n">
        <x:f>C51*E51</x:f>
        <x:v>2900</x:v>
      </x:c>
      <x:c r="R51" s="33" t="n">
        <x:f>Q51*(F51+H51+L51)+E51*(G51+I51)+J51+K51*3</x:f>
        <x:v>1397</x:v>
      </x:c>
      <x:c r="S51" s="33" t="n">
        <x:f>Q51-R51</x:f>
        <x:v>1503</x:v>
      </x:c>
      <x:c r="T51" s="25" t="n">
        <x:v>3</x:v>
      </x:c>
      <x:c r="U51" s="25" t="n">
        <x:v>5</x:v>
      </x:c>
      <x:c r="V51" s="33" t="n">
        <x:f>IFERROR(O51/((T51+U51)*52/12),0)</x:f>
        <x:v>0.13413461538461555</x:v>
      </x:c>
      <x:c r="W51" s="25" t="str">
        <x:v>Editable hypothetical demand; not measured earnings. M12 adds overhead + triples acquisition spend. No owner wage/income tax.</x:v>
      </x:c>
    </x:row>
    <x:row r="52" ht="72" customHeight="1">
      <x:c r="A52" s="25" t="str">
        <x:v>O58</x:v>
      </x:c>
      <x:c r="B52" s="25" t="str">
        <x:v>Team/event preorder storefront</x:v>
      </x:c>
      <x:c r="C52" s="37" t="n">
        <x:v>49</x:v>
      </x:c>
      <x:c r="D52" s="35" t="n">
        <x:v>15</x:v>
      </x:c>
      <x:c r="E52" s="35" t="n">
        <x:v>200</x:v>
      </x:c>
      <x:c r="F52" s="39" t="n">
        <x:v>0.05</x:v>
      </x:c>
      <x:c r="G52" s="35" t="n">
        <x:v>0.75</x:v>
      </x:c>
      <x:c r="H52" s="39" t="n">
        <x:v>0.03</x:v>
      </x:c>
      <x:c r="I52" s="35" t="n">
        <x:v>29</x:v>
      </x:c>
      <x:c r="J52" s="35" t="n">
        <x:v>25</x:v>
      </x:c>
      <x:c r="K52" s="35" t="n">
        <x:v>60</x:v>
      </x:c>
      <x:c r="L52" s="39" t="n">
        <x:v>0.15</x:v>
      </x:c>
      <x:c r="M52" s="33" t="n">
        <x:f>C52*D52</x:f>
        <x:v>735</x:v>
      </x:c>
      <x:c r="N52" s="33" t="n">
        <x:f>M52*(F52+H52)+D52*(G52+I52)+J52+K52</x:f>
        <x:v>590.05</x:v>
      </x:c>
      <x:c r="O52" s="33" t="n">
        <x:f>M52-N52</x:f>
        <x:v>144.95000000000005</x:v>
      </x:c>
      <x:c r="P52" s="33" t="n">
        <x:f>-J52-K52</x:f>
        <x:v>-85</x:v>
      </x:c>
      <x:c r="Q52" s="33" t="n">
        <x:f>C52*E52</x:f>
        <x:v>9800</x:v>
      </x:c>
      <x:c r="R52" s="33" t="n">
        <x:f>Q52*(F52+H52+L52)+E52*(G52+I52)+J52+K52*3</x:f>
        <x:v>8409</x:v>
      </x:c>
      <x:c r="S52" s="33" t="n">
        <x:f>Q52-R52</x:f>
        <x:v>1391</x:v>
      </x:c>
      <x:c r="T52" s="25" t="n">
        <x:v>4</x:v>
      </x:c>
      <x:c r="U52" s="25" t="n">
        <x:v>5</x:v>
      </x:c>
      <x:c r="V52" s="33" t="n">
        <x:f>IFERROR(O52/((T52+U52)*52/12),0)</x:f>
        <x:v>3.7166666666666677</x:v>
      </x:c>
      <x:c r="W52" s="25" t="str">
        <x:v>Editable hypothetical demand; not measured earnings. M12 adds overhead + triples acquisition spend. No owner wage/income tax.</x:v>
      </x:c>
    </x:row>
    <x:row r="53" ht="72" customHeight="1">
      <x:c r="A53" s="25" t="str">
        <x:v>O32</x:v>
      </x:c>
      <x:c r="B53" s="25" t="str">
        <x:v>Laser-cut/CNC pattern licenses</x:v>
      </x:c>
      <x:c r="C53" s="37" t="n">
        <x:v>19</x:v>
      </x:c>
      <x:c r="D53" s="35" t="n">
        <x:v>8</x:v>
      </x:c>
      <x:c r="E53" s="35" t="n">
        <x:v>120</x:v>
      </x:c>
      <x:c r="F53" s="39" t="n">
        <x:v>0.15</x:v>
      </x:c>
      <x:c r="G53" s="35" t="n">
        <x:v>0.75</x:v>
      </x:c>
      <x:c r="H53" s="39" t="n">
        <x:v>0.03</x:v>
      </x:c>
      <x:c r="I53" s="35" t="n">
        <x:v>1</x:v>
      </x:c>
      <x:c r="J53" s="35" t="n">
        <x:v>15</x:v>
      </x:c>
      <x:c r="K53" s="35" t="n">
        <x:v>50</x:v>
      </x:c>
      <x:c r="L53" s="39" t="n">
        <x:v>0.15</x:v>
      </x:c>
      <x:c r="M53" s="33" t="n">
        <x:f>C53*D53</x:f>
        <x:v>152</x:v>
      </x:c>
      <x:c r="N53" s="33" t="n">
        <x:f>M53*(F53+H53)+D53*(G53+I53)+J53+K53</x:f>
        <x:v>106.36</x:v>
      </x:c>
      <x:c r="O53" s="33" t="n">
        <x:f>M53-N53</x:f>
        <x:v>45.64</x:v>
      </x:c>
      <x:c r="P53" s="33" t="n">
        <x:f>-J53-K53</x:f>
        <x:v>-65</x:v>
      </x:c>
      <x:c r="Q53" s="33" t="n">
        <x:f>C53*E53</x:f>
        <x:v>2280</x:v>
      </x:c>
      <x:c r="R53" s="33" t="n">
        <x:f>Q53*(F53+H53+L53)+E53*(G53+I53)+J53+K53*3</x:f>
        <x:v>1127.3999999999999</x:v>
      </x:c>
      <x:c r="S53" s="33" t="n">
        <x:f>Q53-R53</x:f>
        <x:v>1152.6000000000001</x:v>
      </x:c>
      <x:c r="T53" s="25" t="n">
        <x:v>2</x:v>
      </x:c>
      <x:c r="U53" s="25" t="n">
        <x:v>4</x:v>
      </x:c>
      <x:c r="V53" s="33" t="n">
        <x:f>IFERROR(O53/((T53+U53)*52/12),0)</x:f>
        <x:v>1.7553846153846153</x:v>
      </x:c>
      <x:c r="W53" s="25" t="str">
        <x:v>Editable hypothetical demand; not measured earnings. M12 adds overhead + triples acquisition spend. No owner wage/income tax.</x:v>
      </x:c>
    </x:row>
    <x:row r="54" ht="72" customHeight="1">
      <x:c r="A54" s="25" t="str">
        <x:v>O56</x:v>
      </x:c>
      <x:c r="B54" s="25" t="str">
        <x:v>Original technical practice workbook</x:v>
      </x:c>
      <x:c r="C54" s="37" t="n">
        <x:v>19</x:v>
      </x:c>
      <x:c r="D54" s="35" t="n">
        <x:v>8</x:v>
      </x:c>
      <x:c r="E54" s="35" t="n">
        <x:v>100</x:v>
      </x:c>
      <x:c r="F54" s="39" t="n">
        <x:v>0.15</x:v>
      </x:c>
      <x:c r="G54" s="35" t="n">
        <x:v>0.75</x:v>
      </x:c>
      <x:c r="H54" s="39" t="n">
        <x:v>0.03</x:v>
      </x:c>
      <x:c r="I54" s="35" t="n">
        <x:v>1</x:v>
      </x:c>
      <x:c r="J54" s="35" t="n">
        <x:v>15</x:v>
      </x:c>
      <x:c r="K54" s="35" t="n">
        <x:v>50</x:v>
      </x:c>
      <x:c r="L54" s="39" t="n">
        <x:v>0.15</x:v>
      </x:c>
      <x:c r="M54" s="33" t="n">
        <x:f>C54*D54</x:f>
        <x:v>152</x:v>
      </x:c>
      <x:c r="N54" s="33" t="n">
        <x:f>M54*(F54+H54)+D54*(G54+I54)+J54+K54</x:f>
        <x:v>106.36</x:v>
      </x:c>
      <x:c r="O54" s="33" t="n">
        <x:f>M54-N54</x:f>
        <x:v>45.64</x:v>
      </x:c>
      <x:c r="P54" s="33" t="n">
        <x:f>-J54-K54</x:f>
        <x:v>-65</x:v>
      </x:c>
      <x:c r="Q54" s="33" t="n">
        <x:f>C54*E54</x:f>
        <x:v>1900</x:v>
      </x:c>
      <x:c r="R54" s="33" t="n">
        <x:f>Q54*(F54+H54+L54)+E54*(G54+I54)+J54+K54*3</x:f>
        <x:v>966.9999999999999</x:v>
      </x:c>
      <x:c r="S54" s="33" t="n">
        <x:f>Q54-R54</x:f>
        <x:v>933.0000000000001</x:v>
      </x:c>
      <x:c r="T54" s="25" t="n">
        <x:v>2</x:v>
      </x:c>
      <x:c r="U54" s="25" t="n">
        <x:v>4</x:v>
      </x:c>
      <x:c r="V54" s="33" t="n">
        <x:f>IFERROR(O54/((T54+U54)*52/12),0)</x:f>
        <x:v>1.7553846153846153</x:v>
      </x:c>
      <x:c r="W54" s="25" t="str">
        <x:v>Editable hypothetical demand; not measured earnings. M12 adds overhead + triples acquisition spend. No owner wage/income tax.</x:v>
      </x:c>
    </x:row>
    <x:row r="55" ht="72" customHeight="1">
      <x:c r="A55" s="25" t="str">
        <x:v>O42</x:v>
      </x:c>
      <x:c r="B55" s="25" t="str">
        <x:v>Licensed permit-dataset alerts</x:v>
      </x:c>
      <x:c r="C55" s="37" t="n">
        <x:v>59</x:v>
      </x:c>
      <x:c r="D55" s="35" t="n">
        <x:v>4</x:v>
      </x:c>
      <x:c r="E55" s="35" t="n">
        <x:v>100</x:v>
      </x:c>
      <x:c r="F55" s="39" t="n">
        <x:v>0.05</x:v>
      </x:c>
      <x:c r="G55" s="35" t="n">
        <x:v>0.75</x:v>
      </x:c>
      <x:c r="H55" s="39" t="n">
        <x:v>0.03</x:v>
      </x:c>
      <x:c r="I55" s="35" t="n">
        <x:v>8</x:v>
      </x:c>
      <x:c r="J55" s="35" t="n">
        <x:v>40</x:v>
      </x:c>
      <x:c r="K55" s="35" t="n">
        <x:v>90</x:v>
      </x:c>
      <x:c r="L55" s="39" t="n">
        <x:v>0.15</x:v>
      </x:c>
      <x:c r="M55" s="33" t="n">
        <x:f>C55*D55</x:f>
        <x:v>236</x:v>
      </x:c>
      <x:c r="N55" s="33" t="n">
        <x:f>M55*(F55+H55)+D55*(G55+I55)+J55+K55</x:f>
        <x:v>183.88</x:v>
      </x:c>
      <x:c r="O55" s="33" t="n">
        <x:f>M55-N55</x:f>
        <x:v>52.120000000000005</x:v>
      </x:c>
      <x:c r="P55" s="33" t="n">
        <x:f>-J55-K55</x:f>
        <x:v>-130</x:v>
      </x:c>
      <x:c r="Q55" s="33" t="n">
        <x:f>C55*E55</x:f>
        <x:v>5900</x:v>
      </x:c>
      <x:c r="R55" s="33" t="n">
        <x:f>Q55*(F55+H55+L55)+E55*(G55+I55)+J55+K55*3</x:f>
        <x:v>2542</x:v>
      </x:c>
      <x:c r="S55" s="33" t="n">
        <x:f>Q55-R55</x:f>
        <x:v>3358</x:v>
      </x:c>
      <x:c r="T55" s="25" t="n">
        <x:v>3</x:v>
      </x:c>
      <x:c r="U55" s="25" t="n">
        <x:v>5</x:v>
      </x:c>
      <x:c r="V55" s="33" t="n">
        <x:f>IFERROR(O55/((T55+U55)*52/12),0)</x:f>
        <x:v>1.5034615384615386</x:v>
      </x:c>
      <x:c r="W55" s="25" t="str">
        <x:v>Editable hypothetical demand; not measured earnings. M12 adds overhead + triples acquisition spend. No owner wage/income tax.</x:v>
      </x:c>
    </x:row>
    <x:row r="56" ht="72" customHeight="1">
      <x:c r="A56" s="25" t="str">
        <x:v>O43</x:v>
      </x:c>
      <x:c r="B56" s="25" t="str">
        <x:v>Opt-in niche supplier directory</x:v>
      </x:c>
      <x:c r="C56" s="37" t="n">
        <x:v>39</x:v>
      </x:c>
      <x:c r="D56" s="35" t="n">
        <x:v>3</x:v>
      </x:c>
      <x:c r="E56" s="35" t="n">
        <x:v>100</x:v>
      </x:c>
      <x:c r="F56" s="39" t="n">
        <x:v>0.05</x:v>
      </x:c>
      <x:c r="G56" s="35" t="n">
        <x:v>0.75</x:v>
      </x:c>
      <x:c r="H56" s="39" t="n">
        <x:v>0.03</x:v>
      </x:c>
      <x:c r="I56" s="35" t="n">
        <x:v>2</x:v>
      </x:c>
      <x:c r="J56" s="35" t="n">
        <x:v>35</x:v>
      </x:c>
      <x:c r="K56" s="35" t="n">
        <x:v>100</x:v>
      </x:c>
      <x:c r="L56" s="39" t="n">
        <x:v>0.15</x:v>
      </x:c>
      <x:c r="M56" s="33" t="n">
        <x:f>C56*D56</x:f>
        <x:v>117</x:v>
      </x:c>
      <x:c r="N56" s="33" t="n">
        <x:f>M56*(F56+H56)+D56*(G56+I56)+J56+K56</x:f>
        <x:v>152.61</x:v>
      </x:c>
      <x:c r="O56" s="33" t="n">
        <x:f>M56-N56</x:f>
        <x:v>-35.610000000000014</x:v>
      </x:c>
      <x:c r="P56" s="33" t="n">
        <x:f>-J56-K56</x:f>
        <x:v>-135</x:v>
      </x:c>
      <x:c r="Q56" s="33" t="n">
        <x:f>C56*E56</x:f>
        <x:v>3900</x:v>
      </x:c>
      <x:c r="R56" s="33" t="n">
        <x:f>Q56*(F56+H56+L56)+E56*(G56+I56)+J56+K56*3</x:f>
        <x:v>1507</x:v>
      </x:c>
      <x:c r="S56" s="33" t="n">
        <x:f>Q56-R56</x:f>
        <x:v>2393</x:v>
      </x:c>
      <x:c r="T56" s="25" t="n">
        <x:v>3</x:v>
      </x:c>
      <x:c r="U56" s="25" t="n">
        <x:v>6</x:v>
      </x:c>
      <x:c r="V56" s="33" t="n">
        <x:f>IFERROR(O56/((T56+U56)*52/12),0)</x:f>
        <x:v>-0.9130769230769235</x:v>
      </x:c>
      <x:c r="W56" s="25" t="str">
        <x:v>Editable hypothetical demand; not measured earnings. M12 adds overhead + triples acquisition spend. No owner wage/income tax.</x:v>
      </x:c>
    </x:row>
    <x:row r="57" ht="72" customHeight="1">
      <x:c r="A57" s="25" t="str">
        <x:v>O55</x:v>
      </x:c>
      <x:c r="B57" s="25" t="str">
        <x:v>Focused technical mini-course</x:v>
      </x:c>
      <x:c r="C57" s="37" t="n">
        <x:v>49</x:v>
      </x:c>
      <x:c r="D57" s="35" t="n">
        <x:v>5</x:v>
      </x:c>
      <x:c r="E57" s="35" t="n">
        <x:v>90</x:v>
      </x:c>
      <x:c r="F57" s="39" t="n">
        <x:v>0.15</x:v>
      </x:c>
      <x:c r="G57" s="35" t="n">
        <x:v>0.75</x:v>
      </x:c>
      <x:c r="H57" s="39" t="n">
        <x:v>0.03</x:v>
      </x:c>
      <x:c r="I57" s="35" t="n">
        <x:v>2</x:v>
      </x:c>
      <x:c r="J57" s="35" t="n">
        <x:v>25</x:v>
      </x:c>
      <x:c r="K57" s="35" t="n">
        <x:v>70</x:v>
      </x:c>
      <x:c r="L57" s="39" t="n">
        <x:v>0.15</x:v>
      </x:c>
      <x:c r="M57" s="33" t="n">
        <x:f>C57*D57</x:f>
        <x:v>245</x:v>
      </x:c>
      <x:c r="N57" s="33" t="n">
        <x:f>M57*(F57+H57)+D57*(G57+I57)+J57+K57</x:f>
        <x:v>152.85</x:v>
      </x:c>
      <x:c r="O57" s="33" t="n">
        <x:f>M57-N57</x:f>
        <x:v>92.15</x:v>
      </x:c>
      <x:c r="P57" s="33" t="n">
        <x:f>-J57-K57</x:f>
        <x:v>-95</x:v>
      </x:c>
      <x:c r="Q57" s="33" t="n">
        <x:f>C57*E57</x:f>
        <x:v>4410</x:v>
      </x:c>
      <x:c r="R57" s="33" t="n">
        <x:f>Q57*(F57+H57+L57)+E57*(G57+I57)+J57+K57*3</x:f>
        <x:v>1937.7999999999997</x:v>
      </x:c>
      <x:c r="S57" s="33" t="n">
        <x:f>Q57-R57</x:f>
        <x:v>2472.2000000000003</x:v>
      </x:c>
      <x:c r="T57" s="25" t="n">
        <x:v>3</x:v>
      </x:c>
      <x:c r="U57" s="25" t="n">
        <x:v>5</x:v>
      </x:c>
      <x:c r="V57" s="33" t="n">
        <x:f>IFERROR(O57/((T57+U57)*52/12),0)</x:f>
        <x:v>2.6581730769230774</x:v>
      </x:c>
      <x:c r="W57" s="25" t="str">
        <x:v>Editable hypothetical demand; not measured earnings. M12 adds overhead + triples acquisition spend. No owner wage/income tax.</x:v>
      </x:c>
    </x:row>
    <x:row r="58" ht="72" customHeight="1">
      <x:c r="A58" s="25" t="str">
        <x:v>O45</x:v>
      </x:c>
      <x:c r="B58" s="25" t="str">
        <x:v>Specialist job board</x:v>
      </x:c>
      <x:c r="C58" s="37" t="n">
        <x:v>99</x:v>
      </x:c>
      <x:c r="D58" s="35" t="n">
        <x:v>2</x:v>
      </x:c>
      <x:c r="E58" s="35" t="n">
        <x:v>30</x:v>
      </x:c>
      <x:c r="F58" s="39" t="n">
        <x:v>0.05</x:v>
      </x:c>
      <x:c r="G58" s="35" t="n">
        <x:v>0.75</x:v>
      </x:c>
      <x:c r="H58" s="39" t="n">
        <x:v>0.03</x:v>
      </x:c>
      <x:c r="I58" s="35" t="n">
        <x:v>5</x:v>
      </x:c>
      <x:c r="J58" s="35" t="n">
        <x:v>40</x:v>
      </x:c>
      <x:c r="K58" s="35" t="n">
        <x:v>100</x:v>
      </x:c>
      <x:c r="L58" s="39" t="n">
        <x:v>0.15</x:v>
      </x:c>
      <x:c r="M58" s="33" t="n">
        <x:f>C58*D58</x:f>
        <x:v>198</x:v>
      </x:c>
      <x:c r="N58" s="33" t="n">
        <x:f>M58*(F58+H58)+D58*(G58+I58)+J58+K58</x:f>
        <x:v>167.34</x:v>
      </x:c>
      <x:c r="O58" s="33" t="n">
        <x:f>M58-N58</x:f>
        <x:v>30.659999999999997</x:v>
      </x:c>
      <x:c r="P58" s="33" t="n">
        <x:f>-J58-K58</x:f>
        <x:v>-140</x:v>
      </x:c>
      <x:c r="Q58" s="33" t="n">
        <x:f>C58*E58</x:f>
        <x:v>2970</x:v>
      </x:c>
      <x:c r="R58" s="33" t="n">
        <x:f>Q58*(F58+H58+L58)+E58*(G58+I58)+J58+K58*3</x:f>
        <x:v>1195.6</x:v>
      </x:c>
      <x:c r="S58" s="33" t="n">
        <x:f>Q58-R58</x:f>
        <x:v>1774.4</x:v>
      </x:c>
      <x:c r="T58" s="25" t="n">
        <x:v>3</x:v>
      </x:c>
      <x:c r="U58" s="25" t="n">
        <x:v>6</x:v>
      </x:c>
      <x:c r="V58" s="33" t="n">
        <x:f>IFERROR(O58/((T58+U58)*52/12),0)</x:f>
        <x:v>0.7861538461538461</x:v>
      </x:c>
      <x:c r="W58" s="25" t="str">
        <x:v>Editable hypothetical demand; not measured earnings. M12 adds overhead + triples acquisition spend. No owner wage/income tax.</x:v>
      </x:c>
    </x:row>
    <x:row r="59" ht="72" customHeight="1">
      <x:c r="A59" s="25" t="str">
        <x:v>O44</x:v>
      </x:c>
      <x:c r="B59" s="25" t="str">
        <x:v>Trade-event calendar sponsorship</x:v>
      </x:c>
      <x:c r="C59" s="37" t="n">
        <x:v>149</x:v>
      </x:c>
      <x:c r="D59" s="35" t="n">
        <x:v>1</x:v>
      </x:c>
      <x:c r="E59" s="35" t="n">
        <x:v>12</x:v>
      </x:c>
      <x:c r="F59" s="39" t="n">
        <x:v>0.05</x:v>
      </x:c>
      <x:c r="G59" s="35" t="n">
        <x:v>0.75</x:v>
      </x:c>
      <x:c r="H59" s="39" t="n">
        <x:v>0.03</x:v>
      </x:c>
      <x:c r="I59" s="35" t="n">
        <x:v>5</x:v>
      </x:c>
      <x:c r="J59" s="35" t="n">
        <x:v>25</x:v>
      </x:c>
      <x:c r="K59" s="35" t="n">
        <x:v>70</x:v>
      </x:c>
      <x:c r="L59" s="39" t="n">
        <x:v>0.15</x:v>
      </x:c>
      <x:c r="M59" s="33" t="n">
        <x:f>C59*D59</x:f>
        <x:v>149</x:v>
      </x:c>
      <x:c r="N59" s="33" t="n">
        <x:f>M59*(F59+H59)+D59*(G59+I59)+J59+K59</x:f>
        <x:v>112.67</x:v>
      </x:c>
      <x:c r="O59" s="33" t="n">
        <x:f>M59-N59</x:f>
        <x:v>36.33</x:v>
      </x:c>
      <x:c r="P59" s="33" t="n">
        <x:f>-J59-K59</x:f>
        <x:v>-95</x:v>
      </x:c>
      <x:c r="Q59" s="33" t="n">
        <x:f>C59*E59</x:f>
        <x:v>1788</x:v>
      </x:c>
      <x:c r="R59" s="33" t="n">
        <x:f>Q59*(F59+H59+L59)+E59*(G59+I59)+J59+K59*3</x:f>
        <x:v>715.24</x:v>
      </x:c>
      <x:c r="S59" s="33" t="n">
        <x:f>Q59-R59</x:f>
        <x:v>1072.76</x:v>
      </x:c>
      <x:c r="T59" s="25" t="n">
        <x:v>3</x:v>
      </x:c>
      <x:c r="U59" s="25" t="n">
        <x:v>6</x:v>
      </x:c>
      <x:c r="V59" s="33" t="n">
        <x:f>IFERROR(O59/((T59+U59)*52/12),0)</x:f>
        <x:v>0.9315384615384615</x:v>
      </x:c>
      <x:c r="W59" s="25" t="str">
        <x:v>Editable hypothetical demand; not measured earnings. M12 adds overhead + triples acquisition spend. No owner wage/income tax.</x:v>
      </x:c>
    </x:row>
    <x:row r="60" ht="72" customHeight="1">
      <x:c r="A60" s="25" t="str">
        <x:v>O48</x:v>
      </x:c>
      <x:c r="B60" s="25" t="str">
        <x:v>Licensed niche-price dataset</x:v>
      </x:c>
      <x:c r="C60" s="37" t="n">
        <x:v>99</x:v>
      </x:c>
      <x:c r="D60" s="35" t="n">
        <x:v>2</x:v>
      </x:c>
      <x:c r="E60" s="35" t="n">
        <x:v>50</x:v>
      </x:c>
      <x:c r="F60" s="39" t="n">
        <x:v>0.05</x:v>
      </x:c>
      <x:c r="G60" s="35" t="n">
        <x:v>0.75</x:v>
      </x:c>
      <x:c r="H60" s="39" t="n">
        <x:v>0.03</x:v>
      </x:c>
      <x:c r="I60" s="35" t="n">
        <x:v>15</x:v>
      </x:c>
      <x:c r="J60" s="35" t="n">
        <x:v>150</x:v>
      </x:c>
      <x:c r="K60" s="35" t="n">
        <x:v>120</x:v>
      </x:c>
      <x:c r="L60" s="39" t="n">
        <x:v>0.15</x:v>
      </x:c>
      <x:c r="M60" s="33" t="n">
        <x:f>C60*D60</x:f>
        <x:v>198</x:v>
      </x:c>
      <x:c r="N60" s="33" t="n">
        <x:f>M60*(F60+H60)+D60*(G60+I60)+J60+K60</x:f>
        <x:v>317.34000000000003</x:v>
      </x:c>
      <x:c r="O60" s="33" t="n">
        <x:f>M60-N60</x:f>
        <x:v>-119.34000000000003</x:v>
      </x:c>
      <x:c r="P60" s="33" t="n">
        <x:f>-J60-K60</x:f>
        <x:v>-270</x:v>
      </x:c>
      <x:c r="Q60" s="33" t="n">
        <x:f>C60*E60</x:f>
        <x:v>4950</x:v>
      </x:c>
      <x:c r="R60" s="33" t="n">
        <x:f>Q60*(F60+H60+L60)+E60*(G60+I60)+J60+K60*3</x:f>
        <x:v>2436</x:v>
      </x:c>
      <x:c r="S60" s="33" t="n">
        <x:f>Q60-R60</x:f>
        <x:v>2514</x:v>
      </x:c>
      <x:c r="T60" s="25" t="n">
        <x:v>4</x:v>
      </x:c>
      <x:c r="U60" s="25" t="n">
        <x:v>6</x:v>
      </x:c>
      <x:c r="V60" s="33" t="n">
        <x:f>IFERROR(O60/((T60+U60)*52/12),0)</x:f>
        <x:v>-2.7540000000000004</x:v>
      </x:c>
      <x:c r="W60" s="25" t="str">
        <x:v>Editable hypothetical demand; not measured earnings. M12 adds overhead + triples acquisition spend. No owner wage/income tax.</x:v>
      </x:c>
    </x:row>
    <x:row r="61" ht="72" customHeight="1">
      <x:c r="A61" s="25" t="str">
        <x:v>O59</x:v>
      </x:c>
      <x:c r="B61" s="25" t="str">
        <x:v>Original stock illustration licenses</x:v>
      </x:c>
      <x:c r="C61" s="37" t="n">
        <x:v>5</x:v>
      </x:c>
      <x:c r="D61" s="35" t="n">
        <x:v>10</x:v>
      </x:c>
      <x:c r="E61" s="35" t="n">
        <x:v>300</x:v>
      </x:c>
      <x:c r="F61" s="39" t="n">
        <x:v>0</x:v>
      </x:c>
      <x:c r="G61" s="35" t="n">
        <x:v>0</x:v>
      </x:c>
      <x:c r="H61" s="39" t="n">
        <x:v>0.03</x:v>
      </x:c>
      <x:c r="I61" s="35" t="n">
        <x:v>0</x:v>
      </x:c>
      <x:c r="J61" s="35" t="n">
        <x:v>15</x:v>
      </x:c>
      <x:c r="K61" s="35" t="n">
        <x:v>30</x:v>
      </x:c>
      <x:c r="L61" s="39" t="n">
        <x:v>0.15</x:v>
      </x:c>
      <x:c r="M61" s="33" t="n">
        <x:f>C61*D61</x:f>
        <x:v>50</x:v>
      </x:c>
      <x:c r="N61" s="33" t="n">
        <x:f>M61*(F61+H61)+D61*(G61+I61)+J61+K61</x:f>
        <x:v>46.5</x:v>
      </x:c>
      <x:c r="O61" s="33" t="n">
        <x:f>M61-N61</x:f>
        <x:v>3.5</x:v>
      </x:c>
      <x:c r="P61" s="33" t="n">
        <x:f>-J61-K61</x:f>
        <x:v>-45</x:v>
      </x:c>
      <x:c r="Q61" s="33" t="n">
        <x:f>C61*E61</x:f>
        <x:v>1500</x:v>
      </x:c>
      <x:c r="R61" s="33" t="n">
        <x:f>Q61*(F61+H61+L61)+E61*(G61+I61)+J61+K61*3</x:f>
        <x:v>375</x:v>
      </x:c>
      <x:c r="S61" s="33" t="n">
        <x:f>Q61-R61</x:f>
        <x:v>1125</x:v>
      </x:c>
      <x:c r="T61" s="25" t="n">
        <x:v>2</x:v>
      </x:c>
      <x:c r="U61" s="25" t="n">
        <x:v>5</x:v>
      </x:c>
      <x:c r="V61" s="33" t="n">
        <x:f>IFERROR(O61/((T61+U61)*52/12),0)</x:f>
        <x:v>0.11538461538461539</x:v>
      </x:c>
      <x:c r="W61" s="25" t="str">
        <x:v>Editable hypothetical demand; not measured earnings. M12 adds overhead + triples acquisition spend. No owner wage/income tax.</x:v>
      </x:c>
    </x:row>
    <x:row r="62" ht="72" customHeight="1">
      <x:c r="A62" s="25" t="str">
        <x:v>O47</x:v>
      </x:c>
      <x:c r="B62" s="25" t="str">
        <x:v>Paid-tool implementation tutorials</x:v>
      </x:c>
      <x:c r="C62" s="37" t="n">
        <x:v>50</x:v>
      </x:c>
      <x:c r="D62" s="35" t="n">
        <x:v>2</x:v>
      </x:c>
      <x:c r="E62" s="35" t="n">
        <x:v>25</x:v>
      </x:c>
      <x:c r="F62" s="39" t="n">
        <x:v>0</x:v>
      </x:c>
      <x:c r="G62" s="35" t="n">
        <x:v>0</x:v>
      </x:c>
      <x:c r="H62" s="39" t="n">
        <x:v>0.03</x:v>
      </x:c>
      <x:c r="I62" s="35" t="n">
        <x:v>0</x:v>
      </x:c>
      <x:c r="J62" s="35" t="n">
        <x:v>20</x:v>
      </x:c>
      <x:c r="K62" s="35" t="n">
        <x:v>60</x:v>
      </x:c>
      <x:c r="L62" s="39" t="n">
        <x:v>0.15</x:v>
      </x:c>
      <x:c r="M62" s="33" t="n">
        <x:f>C62*D62</x:f>
        <x:v>100</x:v>
      </x:c>
      <x:c r="N62" s="33" t="n">
        <x:f>M62*(F62+H62)+D62*(G62+I62)+J62+K62</x:f>
        <x:v>83</x:v>
      </x:c>
      <x:c r="O62" s="33" t="n">
        <x:f>M62-N62</x:f>
        <x:v>17</x:v>
      </x:c>
      <x:c r="P62" s="33" t="n">
        <x:f>-J62-K62</x:f>
        <x:v>-80</x:v>
      </x:c>
      <x:c r="Q62" s="33" t="n">
        <x:f>C62*E62</x:f>
        <x:v>1250</x:v>
      </x:c>
      <x:c r="R62" s="33" t="n">
        <x:f>Q62*(F62+H62+L62)+E62*(G62+I62)+J62+K62*3</x:f>
        <x:v>425</x:v>
      </x:c>
      <x:c r="S62" s="33" t="n">
        <x:f>Q62-R62</x:f>
        <x:v>825</x:v>
      </x:c>
      <x:c r="T62" s="25" t="n">
        <x:v>3</x:v>
      </x:c>
      <x:c r="U62" s="25" t="n">
        <x:v>6</x:v>
      </x:c>
      <x:c r="V62" s="33" t="n">
        <x:f>IFERROR(O62/((T62+U62)*52/12),0)</x:f>
        <x:v>0.4358974358974359</x:v>
      </x:c>
      <x:c r="W62" s="25" t="str">
        <x:v>Editable hypothetical demand; not measured earnings. M12 adds overhead + triples acquisition spend. No owner wage/income tax.</x:v>
      </x:c>
    </x:row>
    <x:row r="63" ht="72" customHeight="1">
      <x:c r="A63" s="25" t="str">
        <x:v>O57</x:v>
      </x:c>
      <x:c r="B63" s="25" t="str">
        <x:v>Original niche-pattern merchandise</x:v>
      </x:c>
      <x:c r="C63" s="37" t="n">
        <x:v>39</x:v>
      </x:c>
      <x:c r="D63" s="35" t="n">
        <x:v>5</x:v>
      </x:c>
      <x:c r="E63" s="35" t="n">
        <x:v>100</x:v>
      </x:c>
      <x:c r="F63" s="39" t="n">
        <x:v>0.05</x:v>
      </x:c>
      <x:c r="G63" s="35" t="n">
        <x:v>0.75</x:v>
      </x:c>
      <x:c r="H63" s="39" t="n">
        <x:v>0.03</x:v>
      </x:c>
      <x:c r="I63" s="35" t="n">
        <x:v>25</x:v>
      </x:c>
      <x:c r="J63" s="35" t="n">
        <x:v>20</x:v>
      </x:c>
      <x:c r="K63" s="35" t="n">
        <x:v>60</x:v>
      </x:c>
      <x:c r="L63" s="39" t="n">
        <x:v>0.15</x:v>
      </x:c>
      <x:c r="M63" s="33" t="n">
        <x:f>C63*D63</x:f>
        <x:v>195</x:v>
      </x:c>
      <x:c r="N63" s="33" t="n">
        <x:f>M63*(F63+H63)+D63*(G63+I63)+J63+K63</x:f>
        <x:v>224.35</x:v>
      </x:c>
      <x:c r="O63" s="33" t="n">
        <x:f>M63-N63</x:f>
        <x:v>-29.349999999999994</x:v>
      </x:c>
      <x:c r="P63" s="33" t="n">
        <x:f>-J63-K63</x:f>
        <x:v>-80</x:v>
      </x:c>
      <x:c r="Q63" s="33" t="n">
        <x:f>C63*E63</x:f>
        <x:v>3900</x:v>
      </x:c>
      <x:c r="R63" s="33" t="n">
        <x:f>Q63*(F63+H63+L63)+E63*(G63+I63)+J63+K63*3</x:f>
        <x:v>3672</x:v>
      </x:c>
      <x:c r="S63" s="33" t="n">
        <x:f>Q63-R63</x:f>
        <x:v>228</x:v>
      </x:c>
      <x:c r="T63" s="25" t="n">
        <x:v>3</x:v>
      </x:c>
      <x:c r="U63" s="25" t="n">
        <x:v>6</x:v>
      </x:c>
      <x:c r="V63" s="33" t="n">
        <x:f>IFERROR(O63/((T63+U63)*52/12),0)</x:f>
        <x:v>-0.7525641025641024</x:v>
      </x:c>
      <x:c r="W63" s="25" t="str">
        <x:v>Editable hypothetical demand; not measured earnings. M12 adds overhead + triples acquisition spend. No owner wage/income tax.</x:v>
      </x:c>
    </x:row>
    <x:row r="64" ht="72" customHeight="1">
      <x:c r="A64" s="25" t="str">
        <x:v>O46</x:v>
      </x:c>
      <x:c r="B64" s="25" t="str">
        <x:v>Specialized software comparison site</x:v>
      </x:c>
      <x:c r="C64" s="37" t="n">
        <x:v>60</x:v>
      </x:c>
      <x:c r="D64" s="35" t="n">
        <x:v>1</x:v>
      </x:c>
      <x:c r="E64" s="35" t="n">
        <x:v>25</x:v>
      </x:c>
      <x:c r="F64" s="39" t="n">
        <x:v>0</x:v>
      </x:c>
      <x:c r="G64" s="35" t="n">
        <x:v>0</x:v>
      </x:c>
      <x:c r="H64" s="39" t="n">
        <x:v>0.03</x:v>
      </x:c>
      <x:c r="I64" s="35" t="n">
        <x:v>0</x:v>
      </x:c>
      <x:c r="J64" s="35" t="n">
        <x:v>25</x:v>
      </x:c>
      <x:c r="K64" s="35" t="n">
        <x:v>75</x:v>
      </x:c>
      <x:c r="L64" s="39" t="n">
        <x:v>0.15</x:v>
      </x:c>
      <x:c r="M64" s="33" t="n">
        <x:f>C64*D64</x:f>
        <x:v>60</x:v>
      </x:c>
      <x:c r="N64" s="33" t="n">
        <x:f>M64*(F64+H64)+D64*(G64+I64)+J64+K64</x:f>
        <x:v>101.8</x:v>
      </x:c>
      <x:c r="O64" s="33" t="n">
        <x:f>M64-N64</x:f>
        <x:v>-41.8</x:v>
      </x:c>
      <x:c r="P64" s="33" t="n">
        <x:f>-J64-K64</x:f>
        <x:v>-100</x:v>
      </x:c>
      <x:c r="Q64" s="33" t="n">
        <x:f>C64*E64</x:f>
        <x:v>1500</x:v>
      </x:c>
      <x:c r="R64" s="33" t="n">
        <x:f>Q64*(F64+H64+L64)+E64*(G64+I64)+J64+K64*3</x:f>
        <x:v>520</x:v>
      </x:c>
      <x:c r="S64" s="33" t="n">
        <x:f>Q64-R64</x:f>
        <x:v>980</x:v>
      </x:c>
      <x:c r="T64" s="25" t="n">
        <x:v>3</x:v>
      </x:c>
      <x:c r="U64" s="25" t="n">
        <x:v>7</x:v>
      </x:c>
      <x:c r="V64" s="33" t="n">
        <x:f>IFERROR(O64/((T64+U64)*52/12),0)</x:f>
        <x:v>-0.9646153846153845</x:v>
      </x:c>
      <x:c r="W64" s="25" t="str">
        <x:v>Editable hypothetical demand; not measured earnings. M12 adds overhead + triples acquisition spend. No owner wage/income tax.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2923dde2d7d495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40" hidden="0" customWidth="1"/>
    <x:col min="5" max="5" width="20" hidden="0" customWidth="1"/>
    <x:col min="6" max="6" width="40" hidden="0" customWidth="1"/>
  </x:cols>
  <x:sheetData>
    <x:row r="1" ht="32" customHeight="1">
      <x:c r="A1" s="3" t="str">
        <x:v>SOURCE REGISTER</x:v>
      </x:c>
      <x:c r="B1" s="3"/>
      <x:c r="C1" s="3"/>
      <x:c r="D1" s="3"/>
      <x:c r="E1" s="3"/>
      <x:c r="F1" s="3"/>
    </x:row>
    <x:row r="2" ht="32" customHeight="1">
      <x:c r="A2" s="7" t="str">
        <x:v>E1 contracted/aggregate spending; E2 paid vendor/category evidence; E3 listings/requests; E4 infrastructure/policy, not demand.</x:v>
      </x:c>
      <x:c r="B2" s="7"/>
      <x:c r="C2" s="7"/>
      <x:c r="D2" s="7"/>
      <x:c r="E2" s="7"/>
      <x:c r="F2" s="7"/>
    </x:row>
    <x:row r="4" ht="48" customHeight="1">
      <x:c r="A4" s="28" t="str">
        <x:v>ID</x:v>
      </x:c>
      <x:c r="B4" s="28" t="str">
        <x:v>Primary source</x:v>
      </x:c>
      <x:c r="C4" s="28" t="str">
        <x:v>Grade</x:v>
      </x:c>
      <x:c r="D4" s="28" t="str">
        <x:v>What it does / does not establish</x:v>
      </x:c>
      <x:c r="E4" s="28" t="str">
        <x:v>Checked</x:v>
      </x:c>
      <x:c r="F4" s="28" t="str">
        <x:v>URL</x:v>
      </x:c>
    </x:row>
    <x:row r="5" ht="42" customHeight="1">
      <x:c r="A5" s="25" t="str">
        <x:v>U26</x:v>
      </x:c>
      <x:c r="B5" s="25" t="str">
        <x:v>Upwork In-Demand Skills 2026</x:v>
      </x:c>
      <x:c r="C5" s="25" t="str">
        <x:v>E1</x:v>
      </x:c>
      <x:c r="D5" s="25" t="str">
        <x:v>Contracted US-origin work; 2025 freelancer earnings. Paid category demand, not a new seller's odds or exact offer validation.</x:v>
      </x:c>
      <x:c r="E5" s="25" t="str">
        <x:v>2026-10-12</x:v>
      </x:c>
      <x:c r="F5" s="25" t="str">
        <x:v>https://www.upwork.com/research/in-demand-skills-2026</x:v>
      </x:c>
    </x:row>
    <x:row r="6" ht="42" customHeight="1">
      <x:c r="A6" s="25" t="str">
        <x:v>UJ</x:v>
      </x:c>
      <x:c r="B6" s="25" t="str">
        <x:v>Upwork automation job listings</x:v>
      </x:c>
      <x:c r="C6" s="25" t="str">
        <x:v>E3</x:v>
      </x:c>
      <x:c r="D6" s="25" t="str">
        <x:v>Public automation requests visible; individual availability, budgets and fit must be rechecked. Postings are not completed purchases.</x:v>
      </x:c>
      <x:c r="E6" s="25" t="str">
        <x:v>2026-10-12</x:v>
      </x:c>
      <x:c r="F6" s="25" t="str">
        <x:v>https://www.upwork.com/freelance-jobs/automation/</x:v>
      </x:c>
    </x:row>
    <x:row r="7" ht="42" customHeight="1">
      <x:c r="A7" s="25" t="str">
        <x:v>AA</x:v>
      </x:c>
      <x:c r="B7" s="25" t="str">
        <x:v>AgencyAnalytics pricing</x:v>
      </x:c>
      <x:c r="C7" s="25" t="str">
        <x:v>E2</x:v>
      </x:c>
      <x:c r="D7" s="25" t="str">
        <x:v>Displayed USD20 per client/month billed annually; vendor says 7,000+ agencies. Established reporting competition.</x:v>
      </x:c>
      <x:c r="E7" s="25" t="str">
        <x:v>2026-10-12</x:v>
      </x:c>
      <x:c r="F7" s="25" t="str">
        <x:v>https://agencyanalytics.com/pricing</x:v>
      </x:c>
    </x:row>
    <x:row r="8" ht="42" customHeight="1">
      <x:c r="A8" s="25" t="str">
        <x:v>MX</x:v>
      </x:c>
      <x:c r="B8" s="25" t="str">
        <x:v>Matrixify pricing</x:v>
      </x:c>
      <x:c r="C8" s="25" t="str">
        <x:v>E2</x:v>
      </x:c>
      <x:c r="D8" s="25" t="str">
        <x:v>Plans displayed $20/$50/$200 per 30 days; normalization service must solve work outside the import app.</x:v>
      </x:c>
      <x:c r="E8" s="25" t="str">
        <x:v>2026-10-12</x:v>
      </x:c>
      <x:c r="F8" s="25" t="str">
        <x:v>https://matrixify.app/pricing/</x:v>
      </x:c>
    </x:row>
    <x:row r="9" ht="42" customHeight="1">
      <x:c r="A9" s="25" t="str">
        <x:v>MR</x:v>
      </x:c>
      <x:c r="B9" s="25" t="str">
        <x:v>Matrixify Shopify listing</x:v>
      </x:c>
      <x:c r="C9" s="25" t="str">
        <x:v>E2</x:v>
      </x:c>
      <x:c r="D9" s="25" t="str">
        <x:v>Priced merchant app and user reviews; evidence of an operating category, not guaranteed service demand.</x:v>
      </x:c>
      <x:c r="E9" s="25" t="str">
        <x:v>2026-10-12</x:v>
      </x:c>
      <x:c r="F9" s="25" t="str">
        <x:v>https://apps.shopify.com/excel-export-import</x:v>
      </x:c>
    </x:row>
    <x:row r="10" ht="42" customHeight="1">
      <x:c r="A10" s="25" t="str">
        <x:v>CK</x:v>
      </x:c>
      <x:c r="B10" s="25" t="str">
        <x:v>Checkly pricing</x:v>
      </x:c>
      <x:c r="C10" s="25" t="str">
        <x:v>E2</x:v>
      </x:c>
      <x:c r="D10" s="25" t="str">
        <x:v>Paid browser/API monitoring; quotas and overages. No claim all products are included in a single headline price.</x:v>
      </x:c>
      <x:c r="E10" s="25" t="str">
        <x:v>2026-10-12</x:v>
      </x:c>
      <x:c r="F10" s="25" t="str">
        <x:v>https://www.checklyhq.com/pricing/</x:v>
      </x:c>
    </x:row>
    <x:row r="11" ht="42" customHeight="1">
      <x:c r="A11" s="25" t="str">
        <x:v>PA</x:v>
      </x:c>
      <x:c r="B11" s="25" t="str">
        <x:v>Parseur pricing</x:v>
      </x:c>
      <x:c r="C11" s="25" t="str">
        <x:v>E2</x:v>
      </x:c>
      <x:c r="D11" s="25" t="str">
        <x:v>20 pages/month free; table displays $49/month for 100 pages and $129 for 1,000. Pricing in USD; verify selected tier.</x:v>
      </x:c>
      <x:c r="E11" s="25" t="str">
        <x:v>2026-10-12</x:v>
      </x:c>
      <x:c r="F11" s="25" t="str">
        <x:v>https://parseur.com/pricing</x:v>
      </x:c>
    </x:row>
    <x:row r="12" ht="42" customHeight="1">
      <x:c r="A12" s="25" t="str">
        <x:v>GD</x:v>
      </x:c>
      <x:c r="B12" s="25" t="str">
        <x:v>itch.io Godot assets</x:v>
      </x:c>
      <x:c r="C12" s="25" t="str">
        <x:v>E3</x:v>
      </x:c>
      <x:c r="D12" s="25" t="str">
        <x:v>Paid and free Godot assets with price listings; no verified unit sales or seller profits.</x:v>
      </x:c>
      <x:c r="E12" s="25" t="str">
        <x:v>2026-10-12</x:v>
      </x:c>
      <x:c r="F12" s="25" t="str">
        <x:v>https://itch.io/game-assets/tag-godot</x:v>
      </x:c>
    </x:row>
    <x:row r="13" ht="42" customHeight="1">
      <x:c r="A13" s="25" t="str">
        <x:v>SH</x:v>
      </x:c>
      <x:c r="B13" s="25" t="str">
        <x:v>itch.io shader assets</x:v>
      </x:c>
      <x:c r="C13" s="25" t="str">
        <x:v>E3</x:v>
      </x:c>
      <x:c r="D13" s="25" t="str">
        <x:v>Multiple paid shader/VFX listings and extensive free competition; supply and pricing evidence only.</x:v>
      </x:c>
      <x:c r="E13" s="25" t="str">
        <x:v>2026-10-12</x:v>
      </x:c>
      <x:c r="F13" s="25" t="str">
        <x:v>https://itch.io/game-assets/tag-shaders</x:v>
      </x:c>
    </x:row>
    <x:row r="14" ht="42" customHeight="1">
      <x:c r="A14" s="25" t="str">
        <x:v>IN</x:v>
      </x:c>
      <x:c r="B14" s="25" t="str">
        <x:v>Insycle pricing</x:v>
      </x:c>
      <x:c r="C14" s="25" t="str">
        <x:v>E2</x:v>
      </x:c>
      <x:c r="D14" s="25" t="str">
        <x:v>Commercial CRM deduplication/normalization category. Vendor pricing, not independent willingness-to-pay for our service.</x:v>
      </x:c>
      <x:c r="E14" s="25" t="str">
        <x:v>2026-10-12</x:v>
      </x:c>
      <x:c r="F14" s="25" t="str">
        <x:v>https://www.insycle.com/pricing/</x:v>
      </x:c>
    </x:row>
    <x:row r="15" ht="42" customHeight="1">
      <x:c r="A15" s="25" t="str">
        <x:v>WP</x:v>
      </x:c>
      <x:c r="B15" s="25" t="str">
        <x:v>WP Buffs care plans</x:v>
      </x:c>
      <x:c r="C15" s="25" t="str">
        <x:v>E2</x:v>
      </x:c>
      <x:c r="D15" s="25" t="str">
        <x:v>Commercial WordPress maintenance plans; ongoing responsibility makes this not passive.</x:v>
      </x:c>
      <x:c r="E15" s="25" t="str">
        <x:v>2026-10-12</x:v>
      </x:c>
      <x:c r="F15" s="25" t="str">
        <x:v>https://wpbuffs.com/plans/</x:v>
      </x:c>
    </x:row>
    <x:row r="16" ht="42" customHeight="1">
      <x:c r="A16" s="25" t="str">
        <x:v>DM</x:v>
      </x:c>
      <x:c r="B16" s="25" t="str">
        <x:v>dmarcian pricing</x:v>
      </x:c>
      <x:c r="C16" s="25" t="str">
        <x:v>E2</x:v>
      </x:c>
      <x:c r="D16" s="25" t="str">
        <x:v>Commercial email-authentication monitoring category; restrict service to authorized domains and legitimate mail.</x:v>
      </x:c>
      <x:c r="E16" s="25" t="str">
        <x:v>2026-10-12</x:v>
      </x:c>
      <x:c r="F16" s="25" t="str">
        <x:v>https://dmarcian.com/pricing/</x:v>
      </x:c>
    </x:row>
    <x:row r="17" ht="42" customHeight="1">
      <x:c r="A17" s="25" t="str">
        <x:v>PD</x:v>
      </x:c>
      <x:c r="B17" s="25" t="str">
        <x:v>PandaDoc pricing</x:v>
      </x:c>
      <x:c r="C17" s="25" t="str">
        <x:v>E2</x:v>
      </x:c>
      <x:c r="D17" s="25" t="str">
        <x:v>Paid document/proposal workflow software; do not offer regulated legal advice.</x:v>
      </x:c>
      <x:c r="E17" s="25" t="str">
        <x:v>2026-10-12</x:v>
      </x:c>
      <x:c r="F17" s="25" t="str">
        <x:v>https://www.pandadoc.com/pricing/</x:v>
      </x:c>
    </x:row>
    <x:row r="18" ht="42" customHeight="1">
      <x:c r="A18" s="25" t="str">
        <x:v>MK</x:v>
      </x:c>
      <x:c r="B18" s="25" t="str">
        <x:v>Make pricing</x:v>
      </x:c>
      <x:c r="C18" s="25" t="str">
        <x:v>E3</x:v>
      </x:c>
      <x:c r="D18" s="25" t="str">
        <x:v>Automation infrastructure and metered plans; implementation is an opportunity hypothesis, not platform resale permission.</x:v>
      </x:c>
      <x:c r="E18" s="25" t="str">
        <x:v>2026-10-12</x:v>
      </x:c>
      <x:c r="F18" s="25" t="str">
        <x:v>https://www.make.com/pricing</x:v>
      </x:c>
    </x:row>
    <x:row r="19" ht="42" customHeight="1">
      <x:c r="A19" s="25" t="str">
        <x:v>N8</x:v>
      </x:c>
      <x:c r="B19" s="25" t="str">
        <x:v>n8n pricing</x:v>
      </x:c>
      <x:c r="C19" s="25" t="str">
        <x:v>E3</x:v>
      </x:c>
      <x:c r="D19" s="25" t="str">
        <x:v>Commercial workflow software and published plans; underlying workflows can support consulting.</x:v>
      </x:c>
      <x:c r="E19" s="25" t="str">
        <x:v>2026-10-12</x:v>
      </x:c>
      <x:c r="F19" s="25" t="str">
        <x:v>https://n8n.io/pricing/</x:v>
      </x:c>
    </x:row>
    <x:row r="20" ht="42" customHeight="1">
      <x:c r="A20" s="25" t="str">
        <x:v>N8L</x:v>
      </x:c>
      <x:c r="B20" s="25" t="str">
        <x:v>n8n Sustainable Use License</x:v>
      </x:c>
      <x:c r="C20" s="25" t="str">
        <x:v>E4</x:v>
      </x:c>
      <x:c r="D20" s="25" t="str">
        <x:v>Consulting/customer-owned workflows differ from white-label hosted resale; confirm license for embedding.</x:v>
      </x:c>
      <x:c r="E20" s="25" t="str">
        <x:v>2026-10-12</x:v>
      </x:c>
      <x:c r="F20" s="25" t="str">
        <x:v>https://docs.n8n.io/sustainable-use-license</x:v>
      </x:c>
    </x:row>
    <x:row r="21" ht="42" customHeight="1">
      <x:c r="A21" s="25" t="str">
        <x:v>SP</x:v>
      </x:c>
      <x:c r="B21" s="25" t="str">
        <x:v>Shopify app distribution revenue share</x:v>
      </x:c>
      <x:c r="C21" s="25" t="str">
        <x:v>E4</x:v>
      </x:c>
      <x:c r="D21" s="25" t="str">
        <x:v>Eligibility-dependent developer revenue share; app launch/review and processing fees apply.</x:v>
      </x:c>
      <x:c r="E21" s="25" t="str">
        <x:v>2026-10-12</x:v>
      </x:c>
      <x:c r="F21" s="25" t="str">
        <x:v>https://shopify.dev/docs/apps/launch/distribution/revenue-share</x:v>
      </x:c>
    </x:row>
    <x:row r="22" ht="42" customHeight="1">
      <x:c r="A22" s="25" t="str">
        <x:v>SE</x:v>
      </x:c>
      <x:c r="B22" s="25" t="str">
        <x:v>Shopify developer ecosystem</x:v>
      </x:c>
      <x:c r="C22" s="25" t="str">
        <x:v>E1</x:v>
      </x:c>
      <x:c r="D22" s="25" t="str">
        <x:v>Shopify reports over US$1.3B developer payouts in prior year; aggregate ecosystem spending, not typical app income.</x:v>
      </x:c>
      <x:c r="E22" s="25" t="str">
        <x:v>2026-10-12</x:v>
      </x:c>
      <x:c r="F22" s="25" t="str">
        <x:v>https://www.shopify.com/news/billion-dollar-ecosystem</x:v>
      </x:c>
    </x:row>
    <x:row r="23" ht="42" customHeight="1">
      <x:c r="A23" s="25" t="str">
        <x:v>BL</x:v>
      </x:c>
      <x:c r="B23" s="25" t="str">
        <x:v>Superhive marketplace</x:v>
      </x:c>
      <x:c r="C23" s="25" t="str">
        <x:v>E3</x:v>
      </x:c>
      <x:c r="D23" s="25" t="str">
        <x:v>Commercial Blender addon market. Listing prices and marketplace access are not verified individual sales.</x:v>
      </x:c>
      <x:c r="E23" s="25" t="str">
        <x:v>2026-10-12</x:v>
      </x:c>
      <x:c r="F23" s="25" t="str">
        <x:v>https://superhivemarket.com/</x:v>
      </x:c>
    </x:row>
    <x:row r="24" ht="42" customHeight="1">
      <x:c r="A24" s="25" t="str">
        <x:v>FA</x:v>
      </x:c>
      <x:c r="B24" s="25" t="str">
        <x:v>Fab publishing</x:v>
      </x:c>
      <x:c r="C24" s="25" t="str">
        <x:v>E4</x:v>
      </x:c>
      <x:c r="D24" s="25" t="str">
        <x:v>Digital asset distribution; publisher review and rights requirements. Distribution evidence only.</x:v>
      </x:c>
      <x:c r="E24" s="25" t="str">
        <x:v>2026-10-12</x:v>
      </x:c>
      <x:c r="F24" s="25" t="str">
        <x:v>https://www.fab.com/o/become-a-publisher</x:v>
      </x:c>
    </x:row>
    <x:row r="25" ht="42" customHeight="1">
      <x:c r="A25" s="25" t="str">
        <x:v>NO</x:v>
      </x:c>
      <x:c r="B25" s="25" t="str">
        <x:v>Notion paid template marketplace</x:v>
      </x:c>
      <x:c r="C25" s="25" t="str">
        <x:v>E4</x:v>
      </x:c>
      <x:c r="D25" s="25" t="str">
        <x:v>Paid template checkout and creator requirements; marketplace availability is not proof of sales.</x:v>
      </x:c>
      <x:c r="E25" s="25" t="str">
        <x:v>2026-10-12</x:v>
      </x:c>
      <x:c r="F25" s="25" t="str">
        <x:v>https://www.notion.com/help/selling-on-marketplace</x:v>
      </x:c>
    </x:row>
    <x:row r="26" ht="42" customHeight="1">
      <x:c r="A26" s="25" t="str">
        <x:v>ET</x:v>
      </x:c>
      <x:c r="B26" s="25" t="str">
        <x:v>Etsy fees</x:v>
      </x:c>
      <x:c r="C26" s="25" t="str">
        <x:v>E4</x:v>
      </x:c>
      <x:c r="D26" s="25" t="str">
        <x:v>Listing/transaction fees plus additional processing, regional and advertising fees where applicable.</x:v>
      </x:c>
      <x:c r="E26" s="25" t="str">
        <x:v>2026-10-12</x:v>
      </x:c>
      <x:c r="F26" s="25" t="str">
        <x:v>https://www.etsy.com/legal/fees/</x:v>
      </x:c>
    </x:row>
    <x:row r="27" ht="42" customHeight="1">
      <x:c r="A27" s="25" t="str">
        <x:v>EC</x:v>
      </x:c>
      <x:c r="B27" s="25" t="str">
        <x:v>Etsy creativity standards</x:v>
      </x:c>
      <x:c r="C27" s="25" t="str">
        <x:v>E4</x:v>
      </x:c>
      <x:c r="D27" s="25" t="str">
        <x:v>Originality/design, production-partner and AI disclosure requirements constrain digital and POD products.</x:v>
      </x:c>
      <x:c r="E27" s="25" t="str">
        <x:v>2026-10-12</x:v>
      </x:c>
      <x:c r="F27" s="25" t="str">
        <x:v>https://www.etsy.com/legal/creativity/</x:v>
      </x:c>
    </x:row>
    <x:row r="28" ht="42" customHeight="1">
      <x:c r="A28" s="25" t="str">
        <x:v>VI</x:v>
      </x:c>
      <x:c r="B28" s="25" t="str">
        <x:v>Visualping pricing</x:v>
      </x:c>
      <x:c r="C28" s="25" t="str">
        <x:v>E2</x:v>
      </x:c>
      <x:c r="D28" s="25" t="str">
        <x:v>Paid change-monitoring plans; free alerts and paid competition reduce generic monitor differentiation.</x:v>
      </x:c>
      <x:c r="E28" s="25" t="str">
        <x:v>2026-10-12</x:v>
      </x:c>
      <x:c r="F28" s="25" t="str">
        <x:v>https://visualping.io/pricing</x:v>
      </x:c>
    </x:row>
    <x:row r="29" ht="42" customHeight="1">
      <x:c r="A29" s="25" t="str">
        <x:v>BA</x:v>
      </x:c>
      <x:c r="B29" s="25" t="str">
        <x:v>Bannerbear API pricing</x:v>
      </x:c>
      <x:c r="C29" s="25" t="str">
        <x:v>E2</x:v>
      </x:c>
      <x:c r="D29" s="25" t="str">
        <x:v>USD49/month published entry paid tier; template image/document rendering category.</x:v>
      </x:c>
      <x:c r="E29" s="25" t="str">
        <x:v>2026-10-12</x:v>
      </x:c>
      <x:c r="F29" s="25" t="str">
        <x:v>https://www.bannerbear.com/pricing/</x:v>
      </x:c>
    </x:row>
    <x:row r="30" ht="42" customHeight="1">
      <x:c r="A30" s="25" t="str">
        <x:v>CC</x:v>
      </x:c>
      <x:c r="B30" s="25" t="str">
        <x:v>CloudConvert pricing</x:v>
      </x:c>
      <x:c r="C30" s="25" t="str">
        <x:v>E2</x:v>
      </x:c>
      <x:c r="D30" s="25" t="str">
        <x:v>Usage-based file conversion credits; commodity competition for generic conversion.</x:v>
      </x:c>
      <x:c r="E30" s="25" t="str">
        <x:v>2026-10-12</x:v>
      </x:c>
      <x:c r="F30" s="25" t="str">
        <x:v>https://cloudconvert.com/pricing</x:v>
      </x:c>
    </x:row>
    <x:row r="31" ht="42" customHeight="1">
      <x:c r="A31" s="25" t="str">
        <x:v>ME</x:v>
      </x:c>
      <x:c r="B31" s="25" t="str">
        <x:v>MERX procurement opportunities</x:v>
      </x:c>
      <x:c r="C31" s="25" t="str">
        <x:v>E2</x:v>
      </x:c>
      <x:c r="D31" s="25" t="str">
        <x:v>Existing procurement discovery business. Use licensed official feeds; no permission to resell MERX content inferred.</x:v>
      </x:c>
      <x:c r="E31" s="25" t="str">
        <x:v>2026-10-12</x:v>
      </x:c>
      <x:c r="F31" s="25" t="str">
        <x:v>https://www.merx.com/</x:v>
      </x:c>
    </x:row>
    <x:row r="32" ht="42" customHeight="1">
      <x:c r="A32" s="25" t="str">
        <x:v>IC</x:v>
      </x:c>
      <x:c r="B32" s="25" t="str">
        <x:v>Intercom pricing</x:v>
      </x:c>
      <x:c r="C32" s="25" t="str">
        <x:v>E2</x:v>
      </x:c>
      <x:c r="D32" s="25" t="str">
        <x:v>Commercial support and AI-support market; unit costs and human escalation matter.</x:v>
      </x:c>
      <x:c r="E32" s="25" t="str">
        <x:v>2026-10-12</x:v>
      </x:c>
      <x:c r="F32" s="25" t="str">
        <x:v>https://www.intercom.com/pricing</x:v>
      </x:c>
    </x:row>
    <x:row r="33" ht="42" customHeight="1">
      <x:c r="A33" s="25" t="str">
        <x:v>CA</x:v>
      </x:c>
      <x:c r="B33" s="25" t="str">
        <x:v>Cal.com pricing and workflows</x:v>
      </x:c>
      <x:c r="C33" s="25" t="str">
        <x:v>E2</x:v>
      </x:c>
      <x:c r="D33" s="25" t="str">
        <x:v>Free/paid scheduling and workflow features; prefer implementation over another generic scheduler.</x:v>
      </x:c>
      <x:c r="E33" s="25" t="str">
        <x:v>2026-10-12</x:v>
      </x:c>
      <x:c r="F33" s="25" t="str">
        <x:v>https://cal.com/pricing</x:v>
      </x:c>
    </x:row>
    <x:row r="34" ht="42" customHeight="1">
      <x:c r="A34" s="25" t="str">
        <x:v>PF</x:v>
      </x:c>
      <x:c r="B34" s="25" t="str">
        <x:v>Printful pricing</x:v>
      </x:c>
      <x:c r="C34" s="25" t="str">
        <x:v>E4</x:v>
      </x:c>
      <x:c r="D34" s="25" t="str">
        <x:v>On-demand fulfillment infrastructure, not evidence a particular design sells; fulfillment/shipping costs remain.</x:v>
      </x:c>
      <x:c r="E34" s="25" t="str">
        <x:v>2026-10-12</x:v>
      </x:c>
      <x:c r="F34" s="25" t="str">
        <x:v>https://www.printful.com/pricing</x:v>
      </x:c>
    </x:row>
    <x:row r="35" ht="42" customHeight="1">
      <x:c r="A35" s="25" t="str">
        <x:v>HA</x:v>
      </x:c>
      <x:c r="B35" s="25" t="str">
        <x:v>HubSpot affiliate program</x:v>
      </x:c>
      <x:c r="C35" s="25" t="str">
        <x:v>E4</x:v>
      </x:c>
      <x:c r="D35" s="25" t="str">
        <x:v>Affiliate distribution exists; approval, terms, attribution and audience acquisition remain constraints.</x:v>
      </x:c>
      <x:c r="E35" s="25" t="str">
        <x:v>2026-10-12</x:v>
      </x:c>
      <x:c r="F35" s="25" t="str">
        <x:v>https://www.hubspot.com/partners/affiliates</x:v>
      </x:c>
    </x:row>
    <x:row r="36" ht="42" customHeight="1">
      <x:c r="A36" s="25" t="str">
        <x:v>AD</x:v>
      </x:c>
      <x:c r="B36" s="25" t="str">
        <x:v>Adobe Stock contributor royalties</x:v>
      </x:c>
      <x:c r="C36" s="25" t="str">
        <x:v>E4</x:v>
      </x:c>
      <x:c r="D36" s="25" t="str">
        <x:v>Royalty distribution for accepted stock assets; low per-license economics possible; no sales forecast.</x:v>
      </x:c>
      <x:c r="E36" s="25" t="str">
        <x:v>2026-10-12</x:v>
      </x:c>
      <x:c r="F36" s="25" t="str">
        <x:v>https://helpx.adobe.com/stock/contributor/payments-earnings/royalties-pricing/pricing-payment-guidelines.html</x:v>
      </x:c>
    </x:row>
    <x:row r="37" ht="42" customHeight="1">
      <x:c r="A37" s="25" t="str">
        <x:v>CH</x:v>
      </x:c>
      <x:c r="B37" s="25" t="str">
        <x:v>Chrome Web Store policies</x:v>
      </x:c>
      <x:c r="C37" s="25" t="str">
        <x:v>E4</x:v>
      </x:c>
      <x:c r="D37" s="25" t="str">
        <x:v>Extension distribution and user-data policies; approval and permission requirements, not demand evidence.</x:v>
      </x:c>
      <x:c r="E37" s="25" t="str">
        <x:v>2026-10-12</x:v>
      </x:c>
      <x:c r="F37" s="25" t="str">
        <x:v>https://developer.chrome.com/docs/webstore/program-policies/policies</x:v>
      </x:c>
    </x:row>
    <x:row r="38" ht="42" customHeight="1">
      <x:c r="A38" s="25" t="str">
        <x:v>ST</x:v>
      </x:c>
      <x:c r="B38" s="25" t="str">
        <x:v>Stripe Canada pricing</x:v>
      </x:c>
      <x:c r="C38" s="25" t="str">
        <x:v>E4</x:v>
      </x:c>
      <x:c r="D38" s="25" t="str">
        <x:v>Domestic cards 2.9% + CAD0.30; Billing pay-as-you-go 0.7%; foreign/FX and other fees may apply.</x:v>
      </x:c>
      <x:c r="E38" s="25" t="str">
        <x:v>2026-10-12</x:v>
      </x:c>
      <x:c r="F38" s="25" t="str">
        <x:v>https://stripe.com/en-ca/pricing</x:v>
      </x:c>
    </x:row>
    <x:row r="39" ht="42" customHeight="1">
      <x:c r="A39" s="25" t="str">
        <x:v>UF</x:v>
      </x:c>
      <x:c r="B39" s="25" t="str">
        <x:v>Upwork freelancer fees</x:v>
      </x:c>
      <x:c r="C39" s="25" t="str">
        <x:v>E4</x:v>
      </x:c>
      <x:c r="D39" s="25" t="str">
        <x:v>Published contract fee 0%-15%; actual fee shown before proposal/contract. Do not assume universal 10%.</x:v>
      </x:c>
      <x:c r="E39" s="25" t="str">
        <x:v>2026-10-12</x:v>
      </x:c>
      <x:c r="F39" s="25" t="str">
        <x:v>https://support.upwork.com/hc/en-us/articles/211062538-Learn-about-the-Freelancer-Service-Fee</x:v>
      </x:c>
    </x:row>
    <x:row r="40" ht="42" customHeight="1">
      <x:c r="A40" s="25" t="str">
        <x:v>UC</x:v>
      </x:c>
      <x:c r="B40" s="25" t="str">
        <x:v>Upwork Connects</x:v>
      </x:c>
      <x:c r="C40" s="25" t="str">
        <x:v>E4</x:v>
      </x:c>
      <x:c r="D40" s="25" t="str">
        <x:v>Connects USD0.15 each; proposal cost varies; $0 plan cannot rely on unlimited free proposals.</x:v>
      </x:c>
      <x:c r="E40" s="25" t="str">
        <x:v>2026-10-12</x:v>
      </x:c>
      <x:c r="F40" s="25" t="str">
        <x:v>https://support.upwork.com/hc/en-us/articles/211062898-Understanding-and-using-Connects</x:v>
      </x:c>
    </x:row>
    <x:row r="41" ht="42" customHeight="1">
      <x:c r="A41" s="25" t="str">
        <x:v>IT</x:v>
      </x:c>
      <x:c r="B41" s="25" t="str">
        <x:v>itch.io payments</x:v>
      </x:c>
      <x:c r="C41" s="25" t="str">
        <x:v>E4</x:v>
      </x:c>
      <x:c r="D41" s="25" t="str">
        <x:v>Creator-selected platform share; default example 10% plus processing; payouts/withholding and payment mode matter.</x:v>
      </x:c>
      <x:c r="E41" s="25" t="str">
        <x:v>2026-10-12</x:v>
      </x:c>
      <x:c r="F41" s="25" t="str">
        <x:v>https://itch.io/docs/creators/payments</x:v>
      </x:c>
    </x:row>
    <x:row r="42" ht="42" customHeight="1">
      <x:c r="A42" s="25" t="str">
        <x:v>LS</x:v>
      </x:c>
      <x:c r="B42" s="25" t="str">
        <x:v>Lemon Squeezy pricing</x:v>
      </x:c>
      <x:c r="C42" s="25" t="str">
        <x:v>E4</x:v>
      </x:c>
      <x:c r="D42" s="25" t="str">
        <x:v>Base 5% + US$0.50, with edge-case surcharges; merchant of record for approved products.</x:v>
      </x:c>
      <x:c r="E42" s="25" t="str">
        <x:v>2026-10-12</x:v>
      </x:c>
      <x:c r="F42" s="25" t="str">
        <x:v>https://www.lemonsqueezy.com/pricing</x:v>
      </x:c>
    </x:row>
    <x:row r="43" ht="42" customHeight="1">
      <x:c r="A43" s="25" t="str">
        <x:v>GM</x:v>
      </x:c>
      <x:c r="B43" s="25" t="str">
        <x:v>Gumroad pricing</x:v>
      </x:c>
      <x:c r="C43" s="25" t="str">
        <x:v>E4</x:v>
      </x:c>
      <x:c r="D43" s="25" t="str">
        <x:v>Published direct 10% + $0.50; Discover 30%; confirm all transaction charges for selected checkout.</x:v>
      </x:c>
      <x:c r="E43" s="25" t="str">
        <x:v>2026-10-12</x:v>
      </x:c>
      <x:c r="F43" s="25" t="str">
        <x:v>https://gumroad.com/pricing</x:v>
      </x:c>
    </x:row>
    <x:row r="44" ht="42" customHeight="1">
      <x:c r="A44" s="25" t="str">
        <x:v>CR</x:v>
      </x:c>
      <x:c r="B44" s="25" t="str">
        <x:v>CRTC CASL FAQ</x:v>
      </x:c>
      <x:c r="C44" s="25" t="str">
        <x:v>E4</x:v>
      </x:c>
      <x:c r="D44" s="25" t="str">
        <x:v>Consent, identification and unsubscribe; public addresses are not blanket permission; international and DM coverage.</x:v>
      </x:c>
      <x:c r="E44" s="25" t="str">
        <x:v>2026-10-12</x:v>
      </x:c>
      <x:c r="F44" s="25" t="str">
        <x:v>https://crtc.gc.ca/eng/com500/faq500.htm</x:v>
      </x:c>
    </x:row>
    <x:row r="45" ht="42" customHeight="1">
      <x:c r="A45" s="25" t="str">
        <x:v>TX</x:v>
      </x:c>
      <x:c r="B45" s="25" t="str">
        <x:v>CRA GST/HST registration</x:v>
      </x:c>
      <x:c r="C45" s="25" t="str">
        <x:v>E4</x:v>
      </x:c>
      <x:c r="D45" s="25" t="str">
        <x:v>Small-supplier rules generally CAD30,000 worldwide taxable supplies; single-quarter and four-quarter tests differ.</x:v>
      </x:c>
      <x:c r="E45" s="25" t="str">
        <x:v>2026-10-12</x:v>
      </x:c>
      <x:c r="F45" s="25" t="str">
        <x:v>https://www.canada.ca/en/revenue-agency/services/tax/businesses/topics/gst-hst-businesses/when-register-charge.html</x:v>
      </x:c>
    </x:row>
    <x:row r="46" ht="42" customHeight="1">
      <x:c r="A46" s="25" t="str">
        <x:v>PR</x:v>
      </x:c>
      <x:c r="B46" s="25" t="str">
        <x:v>Privacy Commissioner outsourcing</x:v>
      </x:c>
      <x:c r="C46" s="25" t="str">
        <x:v>E4</x:v>
      </x:c>
      <x:c r="D46" s="25" t="str">
        <x:v>PIPEDA privacy/accountability considerations for outsourced data processing.</x:v>
      </x:c>
      <x:c r="E46" s="25" t="str">
        <x:v>2026-10-12</x:v>
      </x:c>
      <x:c r="F46" s="25" t="str">
        <x:v>https://www.priv.gc.ca/en/privacy-topics/employers-and-employees/outsourcing/02_05_d_57_os_01/</x:v>
      </x:c>
    </x:row>
    <x:row r="47" ht="42" customHeight="1">
      <x:c r="A47" s="25" t="str">
        <x:v>CW</x:v>
      </x:c>
      <x:c r="B47" s="25" t="str">
        <x:v>Cloudflare Workers pricing</x:v>
      </x:c>
      <x:c r="C47" s="25" t="str">
        <x:v>E4</x:v>
      </x:c>
      <x:c r="D47" s="25" t="str">
        <x:v>Metered serverless runtime; compute/storage/queues have separate limits and costs.</x:v>
      </x:c>
      <x:c r="E47" s="25" t="str">
        <x:v>2026-10-12</x:v>
      </x:c>
      <x:c r="F47" s="25" t="str">
        <x:v>https://developers.cloudflare.com/workers/platform/pricing/</x:v>
      </x:c>
    </x:row>
    <x:row r="48" ht="42" customHeight="1">
      <x:c r="A48" s="25" t="str">
        <x:v>GH</x:v>
      </x:c>
      <x:c r="B48" s="25" t="str">
        <x:v>GitHub Actions scheduled events</x:v>
      </x:c>
      <x:c r="C48" s="25" t="str">
        <x:v>E4</x:v>
      </x:c>
      <x:c r="D48" s="25" t="str">
        <x:v>Schedules can delay/drop under load; use Actions for CI, not promised precise uptime monitoring.</x:v>
      </x:c>
      <x:c r="E48" s="25" t="str">
        <x:v>2026-10-12</x:v>
      </x:c>
      <x:c r="F48" s="25" t="str">
        <x:v>https://docs.github.com/en/actions/reference/workflows-and-actions/events-that-trigger-workflows</x:v>
      </x:c>
    </x:row>
    <x:row r="49" ht="42" customHeight="1">
      <x:c r="A49" s="25" t="str">
        <x:v>WH</x:v>
      </x:c>
      <x:c r="B49" s="25" t="str">
        <x:v>Stripe webhook integration</x:v>
      </x:c>
      <x:c r="C49" s="25" t="str">
        <x:v>E4</x:v>
      </x:c>
      <x:c r="D49" s="25" t="str">
        <x:v>Verify signatures, tolerate duplicate/reordered events and acknowledge quickly.</x:v>
      </x:c>
      <x:c r="E49" s="25" t="str">
        <x:v>2026-10-12</x:v>
      </x:c>
      <x:c r="F49" s="25" t="str">
        <x:v>https://docs.stripe.com/webhooks</x:v>
      </x:c>
    </x:row>
    <x:row r="50" ht="42" customHeight="1">
      <x:c r="A50" s="25" t="str">
        <x:v>PO</x:v>
      </x:c>
      <x:c r="B50" s="25" t="str">
        <x:v>Stripe payouts</x:v>
      </x:c>
      <x:c r="C50" s="25" t="str">
        <x:v>E4</x:v>
      </x:c>
      <x:c r="D50" s="25" t="str">
        <x:v>First payouts and settlement may lag sale; account/country-specific restrictions apply.</x:v>
      </x:c>
      <x:c r="E50" s="25" t="str">
        <x:v>2026-10-12</x:v>
      </x:c>
      <x:c r="F50" s="25" t="str">
        <x:v>https://docs.stripe.com/payouts</x:v>
      </x:c>
    </x:row>
    <x:row r="51" ht="42" customHeight="1">
      <x:c r="A51" s="25" t="str">
        <x:v>OA</x:v>
      </x:c>
      <x:c r="B51" s="25" t="str">
        <x:v>OpenAI ChatGPT/API billing</x:v>
      </x:c>
      <x:c r="C51" s="25" t="str">
        <x:v>E4</x:v>
      </x:c>
      <x:c r="D51" s="25" t="str">
        <x:v>ChatGPT and API billing are separate; plan business API expenses independently.</x:v>
      </x:c>
      <x:c r="E51" s="25" t="str">
        <x:v>2026-10-12</x:v>
      </x:c>
      <x:c r="F51" s="25" t="str">
        <x:v>https://help.openai.com/en/articles/9039756-managing-billing-for-chatgpt-and-the-api-platform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8816d7ce534d7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40" hidden="0" customWidth="1"/>
    <x:col min="5" max="5" width="40" hidden="0" customWidth="1"/>
    <x:col min="7" max="7" width="26" hidden="0" customWidth="1"/>
    <x:col min="8" max="8" width="26" hidden="0" customWidth="1"/>
  </x:cols>
  <x:sheetData>
    <x:row r="1" ht="32" customHeight="1">
      <x:c r="A1" s="3" t="str">
        <x:v>MODEL INPUTS — CAD</x:v>
      </x:c>
      <x:c r="B1" s="3"/>
      <x:c r="C1" s="3"/>
      <x:c r="D1" s="3"/>
      <x:c r="E1" s="3"/>
    </x:row>
    <x:row r="2" ht="32" customHeight="1">
      <x:c r="A2" s="7" t="str">
        <x:v>Editable assumptions. Income taxes are not operating expenses in this model; sales taxes collected are not revenue.</x:v>
      </x:c>
      <x:c r="B2" s="7"/>
      <x:c r="C2" s="7"/>
      <x:c r="D2" s="7"/>
      <x:c r="E2" s="7"/>
    </x:row>
    <x:row r="4" ht="30" customHeight="1">
      <x:c r="A4" s="28" t="str">
        <x:v>Input key</x:v>
      </x:c>
      <x:c r="B4" s="28" t="str">
        <x:v>Description</x:v>
      </x:c>
      <x:c r="C4" s="28" t="str">
        <x:v>Value</x:v>
      </x:c>
      <x:c r="D4" s="28" t="str">
        <x:v>Basis / caveat</x:v>
      </x:c>
      <x:c r="E4" s="28" t="str">
        <x:v>Sources</x:v>
      </x:c>
      <x:c r="G4" s="110" t="str">
        <x:v>Scoring factor</x:v>
      </x:c>
      <x:c r="H4" s="110" t="str">
        <x:v>Weight</x:v>
      </x:c>
    </x:row>
    <x:row r="5" ht="30" customHeight="1">
      <x:c r="A5" s="25" t="str">
        <x:v>direct_fee_pct</x:v>
      </x:c>
      <x:c r="B5" s="25" t="str">
        <x:v>Direct payment blended fee allowance</x:v>
      </x:c>
      <x:c r="C5" s="45" t="n">
        <x:v>0.04</x:v>
      </x:c>
      <x:c r="D5" s="25" t="str">
        <x:v>4% planning allowance, not a published all-in quote; domestic cards 2.9% + CAD0.30, Billing may add fees. International/FX handled with separate reserve.</x:v>
      </x:c>
      <x:c r="E5" s="25" t="str">
        <x:v>https://stripe.com/en-ca/pricing</x:v>
      </x:c>
      <x:c r="G5" s="15" t="str">
        <x:v>Speed to revenue</x:v>
      </x:c>
      <x:c r="H5" s="115" t="n">
        <x:v>0.35</x:v>
      </x:c>
    </x:row>
    <x:row r="6" ht="30" customHeight="1">
      <x:c r="A6" s="25" t="str">
        <x:v>direct_fee_flat</x:v>
      </x:c>
      <x:c r="B6" s="25" t="str">
        <x:v>Direct payment flat fee CAD</x:v>
      </x:c>
      <x:c r="C6" s="47" t="n">
        <x:v>0.3</x:v>
      </x:c>
      <x:c r="D6" s="25" t="str">
        <x:v>Domestic standard card price reference; verify international and contract-specific pricing.</x:v>
      </x:c>
      <x:c r="E6" s="25" t="str">
        <x:v>https://stripe.com/en-ca/pricing</x:v>
      </x:c>
      <x:c r="G6" s="15" t="str">
        <x:v>Profit potential</x:v>
      </x:c>
      <x:c r="H6" s="115" t="n">
        <x:v>0.25</x:v>
      </x:c>
    </x:row>
    <x:row r="7" ht="30" customHeight="1">
      <x:c r="A7" s="25" t="str">
        <x:v>marketplace_fee_pct</x:v>
      </x:c>
      <x:c r="B7" s="25" t="str">
        <x:v>Marketplace fee stress allowance</x:v>
      </x:c>
      <x:c r="C7" s="45" t="n">
        <x:v>0.15</x:v>
      </x:c>
      <x:c r="D7" s="25" t="str">
        <x:v>15% is the top of published 0–15% contract range, not every contract's actual fee.</x:v>
      </x:c>
      <x:c r="E7" s="25" t="str">
        <x:v>https://support.upwork.com/hc/en-us/articles/211062538-Learn-about-the-Freelancer-Service-Fee</x:v>
      </x:c>
      <x:c r="G7" s="15" t="str">
        <x:v>Delivery automation</x:v>
      </x:c>
      <x:c r="H7" s="115" t="n">
        <x:v>0.2</x:v>
      </x:c>
    </x:row>
    <x:row r="8" ht="30" customHeight="1">
      <x:c r="A8" s="25" t="str">
        <x:v>kit_fee_pct</x:v>
      </x:c>
      <x:c r="B8" s="25" t="str">
        <x:v>Digital sales blended fee allowance</x:v>
      </x:c>
      <x:c r="C8" s="45" t="n">
        <x:v>0.15</x:v>
      </x:c>
      <x:c r="D8" s="25" t="str">
        <x:v>15% planning allowance, not a literal platform tariff; includes platform/processing uncertainty.</x:v>
      </x:c>
      <x:c r="E8" s="25" t="str">
        <x:v>https://gumroad.com/pricing | https://itch.io/docs/creators/payments | https://www.lemonsqueezy.com/pricing</x:v>
      </x:c>
      <x:c r="G8" s="15" t="str">
        <x:v>Evidence / route</x:v>
      </x:c>
      <x:c r="H8" s="115" t="n">
        <x:v>0.1</x:v>
      </x:c>
    </x:row>
    <x:row r="9" ht="30" customHeight="1">
      <x:c r="A9" s="25" t="str">
        <x:v>kit_fee_flat</x:v>
      </x:c>
      <x:c r="B9" s="25" t="str">
        <x:v>Digital sale flat allowance CAD</x:v>
      </x:c>
      <x:c r="C9" s="47" t="n">
        <x:v>0.75</x:v>
      </x:c>
      <x:c r="D9" s="25" t="str">
        <x:v>CAD0.75 planning allowance. Vendor USD flat charges, currency and selected storefront change actual cost.</x:v>
      </x:c>
      <x:c r="E9" s="25" t="str">
        <x:v>https://gumroad.com/pricing | https://itch.io/docs/creators/payments | https://www.lemonsqueezy.com/pricing</x:v>
      </x:c>
      <x:c r="G9" s="15" t="str">
        <x:v>Scalability</x:v>
      </x:c>
      <x:c r="H9" s="115" t="n">
        <x:v>0.1</x:v>
      </x:c>
    </x:row>
    <x:row r="10" ht="30" customHeight="1">
      <x:c r="A10" s="25" t="str">
        <x:v>refund_pct</x:v>
      </x:c>
      <x:c r="B10" s="25" t="str">
        <x:v>Refund/rework allowance</x:v>
      </x:c>
      <x:c r="C10" s="45" t="n">
        <x:v>0.03</x:v>
      </x:c>
      <x:c r="D10" s="25" t="str">
        <x:v>3% model assumption, not a verified industry rate. Excludes collected sales taxes.</x:v>
      </x:c>
      <x:c r="E10" s="25" t="str">
        <x:v>Explicit planning assumption; not externally verified</x:v>
      </x:c>
      <x:c r="G10" s="15" t="str">
        <x:v>Maximum factor score</x:v>
      </x:c>
      <x:c r="H10" s="116" t="n">
        <x:v>5</x:v>
      </x:c>
    </x:row>
    <x:row r="11" ht="42" customHeight="1">
      <x:c r="A11" s="25" t="str">
        <x:v>fx_risk_pct</x:v>
      </x:c>
      <x:c r="B11" s="25" t="str">
        <x:v>FX/payment-risk allowance</x:v>
      </x:c>
      <x:c r="C11" s="45" t="n">
        <x:v>0.02</x:v>
      </x:c>
      <x:c r="D11" s="25" t="str">
        <x:v>2% conservative portfolio reserve, not a quoted exchange rate or fee; replace with actual costs.</x:v>
      </x:c>
      <x:c r="E11" s="25" t="str">
        <x:v>https://stripe.com/en-ca/pricing</x:v>
      </x:c>
    </x:row>
    <x:row r="12" ht="42" customHeight="1">
      <x:c r="A12" s="25" t="str">
        <x:v>setup_variable</x:v>
      </x:c>
      <x:c r="B12" s="25" t="str">
        <x:v>Variable software cost/setup CAD</x:v>
      </x:c>
      <x:c r="C12" s="47" t="n">
        <x:v>10</x:v>
      </x:c>
      <x:c r="D12" s="25" t="str">
        <x:v>Planning cap for capped jobs, not owner labour. Excess client-specific subscriptions billed separately.</x:v>
      </x:c>
      <x:c r="E12" s="25" t="str">
        <x:v>Explicit planning assumption; not externally verified</x:v>
      </x:c>
    </x:row>
    <x:row r="13" ht="42" customHeight="1">
      <x:c r="A13" s="25" t="str">
        <x:v>care_variable</x:v>
      </x:c>
      <x:c r="B13" s="25" t="str">
        <x:v>Variable cost/care client CAD/month</x:v>
      </x:c>
      <x:c r="C13" s="47" t="n">
        <x:v>12</x:v>
      </x:c>
      <x:c r="D13" s="25" t="str">
        <x:v>Planning assumption for light workflows with usage limits.</x:v>
      </x:c>
      <x:c r="E13" s="25" t="str">
        <x:v>https://developers.cloudflare.com/workers/platform/pricing/ | https://www.make.com/pricing</x:v>
      </x:c>
    </x:row>
    <x:row r="14" ht="42" customHeight="1">
      <x:c r="A14" s="25" t="str">
        <x:v>monitor_variable</x:v>
      </x:c>
      <x:c r="B14" s="25" t="str">
        <x:v>Variable cost/site CAD/month</x:v>
      </x:c>
      <x:c r="C14" s="47" t="n">
        <x:v>10</x:v>
      </x:c>
      <x:c r="D14" s="25" t="str">
        <x:v>Planning assumption; browser-test cadence and usage must fit this allowance.</x:v>
      </x:c>
      <x:c r="E14" s="25" t="str">
        <x:v>https://www.checklyhq.com/pricing/</x:v>
      </x:c>
    </x:row>
    <x:row r="15" ht="42" customHeight="1">
      <x:c r="A15" s="25" t="str">
        <x:v>kit_variable</x:v>
      </x:c>
      <x:c r="B15" s="25" t="str">
        <x:v>Variable support/fulfillment reserve/license CAD</x:v>
      </x:c>
      <x:c r="C15" s="47" t="n">
        <x:v>1</x:v>
      </x:c>
      <x:c r="D15" s="25" t="str">
        <x:v>Planning assumption; founder support time separately tracked.</x:v>
      </x:c>
      <x:c r="E15" s="25" t="str">
        <x:v>Explicit planning assumption; not externally verified</x:v>
      </x:c>
    </x:row>
    <x:row r="16" ht="42" customHeight="1">
      <x:c r="A16" s="25" t="str">
        <x:v>contractor_rate</x:v>
      </x:c>
      <x:c r="B16" s="25" t="str">
        <x:v>Contractor loaded rate CAD/hour</x:v>
      </x:c>
      <x:c r="C16" s="47" t="n">
        <x:v>30</x:v>
      </x:c>
      <x:c r="D16" s="25" t="str">
        <x:v>Planning assumption; real qualified rates may be much higher.</x:v>
      </x:c>
      <x:c r="E16" s="25" t="str">
        <x:v>Explicit planning assumption; not externally verified</x:v>
      </x:c>
    </x:row>
    <x:row r="17" ht="42" customHeight="1">
      <x:c r="A17" s="25" t="str">
        <x:v>owner_hour_value</x:v>
      </x:c>
      <x:c r="B17" s="25" t="str">
        <x:v>Owner time value CAD/hour</x:v>
      </x:c>
      <x:c r="C17" s="47" t="n">
        <x:v>30</x:v>
      </x:c>
      <x:c r="D17" s="25" t="str">
        <x:v>Opportunity-cost input, not an actual cash wage or claim about your income.</x:v>
      </x:c>
      <x:c r="E17" s="25" t="str">
        <x:v>Explicit planning assumption; not externally verified</x:v>
      </x:c>
    </x:row>
    <x:row r="18" ht="42" customHeight="1">
      <x:c r="A18" s="25" t="str">
        <x:v>tax_cash_reserve</x:v>
      </x:c>
      <x:c r="B18" s="25" t="str">
        <x:v>Illustrative tax cash reserve</x:v>
      </x:c>
      <x:c r="C18" s="45" t="n">
        <x:v>0.3</x:v>
      </x:c>
      <x:c r="D18" s="25" t="str">
        <x:v>30% placeholder only, not a tax estimate; province, other income, CPP and structure matter.</x:v>
      </x:c>
      <x:c r="E18" s="25" t="str">
        <x:v>https://www.canada.ca/en/revenue-agency/services/tax/businesses/topics/gst-hst-businesses/when-register-charge.html</x:v>
      </x:c>
    </x:row>
    <x:row r="19" ht="42" customHeight="1">
      <x:c r="A19" s="15" t="str">
        <x:v>kit_support_hours</x:v>
      </x:c>
      <x:c r="B19" s="15" t="str">
        <x:v>Gross owner support hours per toolkit sale</x:v>
      </x:c>
      <x:c r="C19" s="107" t="n">
        <x:v>0.1</x:v>
      </x:c>
      <x:c r="D19" s="15" t="str">
        <x:v>Explicit unverified workload assumption</x:v>
      </x:c>
      <x:c r="E19" s="15" t="str">
        <x:v>Planning assumption; validate against tracked time</x:v>
      </x:c>
    </x:row>
    <x:row r="20" ht="42" customHeight="1">
      <x:c r="A20" s="15" t="str">
        <x:v>delegation_fraction</x:v>
      </x:c>
      <x:c r="B20" s="15" t="str">
        <x:v>Contractor hours replacing owner delivery hours</x:v>
      </x:c>
      <x:c r="C20" s="107" t="n">
        <x:v>0.5</x:v>
      </x:c>
      <x:c r="D20" s="15" t="str">
        <x:v>Explicit conservative delegation assumption</x:v>
      </x:c>
      <x:c r="E20" s="15" t="str">
        <x:v>Planning assumption; validate against tracked time</x:v>
      </x:c>
    </x:row>
    <x:row r="21" ht="42" customHeight="1">
      <x:c r="A21" s="15" t="str">
        <x:v>monitor_onboard_hours</x:v>
      </x:c>
      <x:c r="B21" s="15" t="str">
        <x:v>Gross owner hours per new monitored site</x:v>
      </x:c>
      <x:c r="C21" s="107" t="n">
        <x:v>1</x:v>
      </x:c>
      <x:c r="D21" s="15" t="str">
        <x:v>Explicit unverified workload assumption</x:v>
      </x:c>
      <x:c r="E21" s="15" t="str">
        <x:v>Planning assumption; validate against tracked time</x:v>
      </x:c>
    </x:row>
  </x:sheetData>
  <x:mergeCells>
    <x:mergeCell ref="A1:E1"/>
    <x:mergeCell ref="A2:E2"/>
  </x:mergeCells>
  <x:pageMargins left="0.7" right="0.7" top="0.75" bottom="0.75" header="0.3" footer="0.3"/>
  <x:legacyDrawing xmlns:r="http://schemas.openxmlformats.org/officeDocument/2006/relationships" r:id="R44c336ccff094ecb"/>
  <x:tableParts count="1">
    <x:tablePart xmlns:r="http://schemas.openxmlformats.org/officeDocument/2006/relationships" r:id="R21c1e780466c44c4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13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2" customHeight="1">
      <x:c r="A1" s="3" t="str">
        <x:v>SCENARIO ASSUMPTIONS — NOT MARKET FORECASTS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All customer counts, conversion rates, prices and workloads are hypotheses. Fractional retained customers represent expected cohort values, not literal people.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Scenario</x:v>
      </x:c>
      <x:c r="B4" s="28" t="str">
        <x:v>Assumption</x:v>
      </x:c>
      <x:c r="C4" s="28" t="str">
        <x:v>Unit</x:v>
      </x:c>
      <x:c r="D4" s="28" t="str">
        <x:v>Basis</x:v>
      </x:c>
      <x:c r="E4" s="28" t="str">
        <x:v>Month 1</x:v>
      </x:c>
      <x:c r="F4" s="28" t="str">
        <x:v>Month 2</x:v>
      </x:c>
      <x:c r="G4" s="28" t="str">
        <x:v>Month 3</x:v>
      </x:c>
      <x:c r="H4" s="28" t="str">
        <x:v>Month 4</x:v>
      </x:c>
      <x:c r="I4" s="28" t="str">
        <x:v>Month 5</x:v>
      </x:c>
      <x:c r="J4" s="28" t="str">
        <x:v>Month 6</x:v>
      </x:c>
      <x:c r="K4" s="28" t="str">
        <x:v>Month 7</x:v>
      </x:c>
      <x:c r="L4" s="28" t="str">
        <x:v>Month 8</x:v>
      </x:c>
      <x:c r="M4" s="28" t="str">
        <x:v>Month 9</x:v>
      </x:c>
      <x:c r="N4" s="28" t="str">
        <x:v>Month 10</x:v>
      </x:c>
      <x:c r="O4" s="28" t="str">
        <x:v>Month 11</x:v>
      </x:c>
      <x:c r="P4" s="28" t="str">
        <x:v>Month 12</x:v>
      </x:c>
    </x:row>
    <x:row r="5" ht="42" customHeight="1">
      <x:c r="A5" s="25" t="str">
        <x:v>Pessimistic</x:v>
      </x:c>
      <x:c r="B5" s="25" t="str">
        <x:v>New reporting setups delivered</x:v>
      </x:c>
      <x:c r="C5" s="25" t="str">
        <x:v>customers</x:v>
      </x:c>
      <x:c r="D5" s="25" t="str">
        <x:v>Unverified planning assumption; replace with observed results.</x:v>
      </x:c>
      <x:c r="E5" s="50" t="n">
        <x:v>0</x:v>
      </x:c>
      <x:c r="F5" s="50" t="n">
        <x:v>1</x:v>
      </x:c>
      <x:c r="G5" s="50" t="n">
        <x:v>0</x:v>
      </x:c>
      <x:c r="H5" s="50" t="n">
        <x:v>0</x:v>
      </x:c>
      <x:c r="I5" s="50" t="n">
        <x:v>0</x:v>
      </x:c>
      <x:c r="J5" s="50" t="n">
        <x:v>0</x:v>
      </x:c>
      <x:c r="K5" s="50" t="n">
        <x:v>0</x:v>
      </x:c>
      <x:c r="L5" s="50" t="n">
        <x:v>0</x:v>
      </x:c>
      <x:c r="M5" s="50" t="n">
        <x:v>0</x:v>
      </x:c>
      <x:c r="N5" s="50" t="n">
        <x:v>0</x:v>
      </x:c>
      <x:c r="O5" s="50" t="n">
        <x:v>0</x:v>
      </x:c>
      <x:c r="P5" s="50" t="n">
        <x:v>0</x:v>
      </x:c>
    </x:row>
    <x:row r="6" ht="42" customHeight="1">
      <x:c r="A6" s="25" t="str">
        <x:v>Pessimistic</x:v>
      </x:c>
      <x:c r="B6" s="25" t="str">
        <x:v>Average reporting setup price</x:v>
      </x:c>
      <x:c r="C6" s="25" t="str">
        <x:v>CAD</x:v>
      </x:c>
      <x:c r="D6" s="25" t="str">
        <x:v>Unverified planning assumption; replace with observed results.</x:v>
      </x:c>
      <x:c r="E6" s="50" t="n">
        <x:v>299</x:v>
      </x:c>
      <x:c r="F6" s="50" t="n">
        <x:v>299</x:v>
      </x:c>
      <x:c r="G6" s="50" t="n">
        <x:v>299</x:v>
      </x:c>
      <x:c r="H6" s="50" t="n">
        <x:v>299</x:v>
      </x:c>
      <x:c r="I6" s="50" t="n">
        <x:v>299</x:v>
      </x:c>
      <x:c r="J6" s="50" t="n">
        <x:v>299</x:v>
      </x:c>
      <x:c r="K6" s="50" t="n">
        <x:v>299</x:v>
      </x:c>
      <x:c r="L6" s="50" t="n">
        <x:v>299</x:v>
      </x:c>
      <x:c r="M6" s="50" t="n">
        <x:v>299</x:v>
      </x:c>
      <x:c r="N6" s="50" t="n">
        <x:v>299</x:v>
      </x:c>
      <x:c r="O6" s="50" t="n">
        <x:v>299</x:v>
      </x:c>
      <x:c r="P6" s="50" t="n">
        <x:v>299</x:v>
      </x:c>
    </x:row>
    <x:row r="7" ht="42" customHeight="1">
      <x:c r="A7" s="25" t="str">
        <x:v>Pessimistic</x:v>
      </x:c>
      <x:c r="B7" s="25" t="str">
        <x:v>Care attachment rate</x:v>
      </x:c>
      <x:c r="C7" s="25" t="str">
        <x:v>fraction</x:v>
      </x:c>
      <x:c r="D7" s="25" t="str">
        <x:v>Unverified planning assumption; replace with observed results.</x:v>
      </x:c>
      <x:c r="E7" s="50" t="n">
        <x:v>0</x:v>
      </x:c>
      <x:c r="F7" s="50" t="n">
        <x:v>0</x:v>
      </x:c>
      <x:c r="G7" s="50" t="n">
        <x:v>0</x:v>
      </x:c>
      <x:c r="H7" s="50" t="n">
        <x:v>0</x:v>
      </x:c>
      <x:c r="I7" s="50" t="n">
        <x:v>0</x:v>
      </x:c>
      <x:c r="J7" s="50" t="n">
        <x:v>0</x:v>
      </x:c>
      <x:c r="K7" s="50" t="n">
        <x:v>0</x:v>
      </x:c>
      <x:c r="L7" s="50" t="n">
        <x:v>0</x:v>
      </x:c>
      <x:c r="M7" s="50" t="n">
        <x:v>0</x:v>
      </x:c>
      <x:c r="N7" s="50" t="n">
        <x:v>0</x:v>
      </x:c>
      <x:c r="O7" s="50" t="n">
        <x:v>0</x:v>
      </x:c>
      <x:c r="P7" s="50" t="n">
        <x:v>0</x:v>
      </x:c>
    </x:row>
    <x:row r="8" ht="42" customHeight="1">
      <x:c r="A8" s="25" t="str">
        <x:v>Pessimistic</x:v>
      </x:c>
      <x:c r="B8" s="25" t="str">
        <x:v>Care monthly churn</x:v>
      </x:c>
      <x:c r="C8" s="25" t="str">
        <x:v>fraction</x:v>
      </x:c>
      <x:c r="D8" s="25" t="str">
        <x:v>Unverified planning assumption; replace with observed results.</x:v>
      </x:c>
      <x:c r="E8" s="50" t="n">
        <x:v>0.08</x:v>
      </x:c>
      <x:c r="F8" s="50" t="n">
        <x:v>0.08</x:v>
      </x:c>
      <x:c r="G8" s="50" t="n">
        <x:v>0.08</x:v>
      </x:c>
      <x:c r="H8" s="50" t="n">
        <x:v>0.08</x:v>
      </x:c>
      <x:c r="I8" s="50" t="n">
        <x:v>0.08</x:v>
      </x:c>
      <x:c r="J8" s="50" t="n">
        <x:v>0.08</x:v>
      </x:c>
      <x:c r="K8" s="50" t="n">
        <x:v>0.08</x:v>
      </x:c>
      <x:c r="L8" s="50" t="n">
        <x:v>0.08</x:v>
      </x:c>
      <x:c r="M8" s="50" t="n">
        <x:v>0.08</x:v>
      </x:c>
      <x:c r="N8" s="50" t="n">
        <x:v>0.08</x:v>
      </x:c>
      <x:c r="O8" s="50" t="n">
        <x:v>0.08</x:v>
      </x:c>
      <x:c r="P8" s="50" t="n">
        <x:v>0.08</x:v>
      </x:c>
    </x:row>
    <x:row r="9" ht="42" customHeight="1">
      <x:c r="A9" s="25" t="str">
        <x:v>Pessimistic</x:v>
      </x:c>
      <x:c r="B9" s="25" t="str">
        <x:v>Care monthly price</x:v>
      </x:c>
      <x:c r="C9" s="25" t="str">
        <x:v>CAD</x:v>
      </x:c>
      <x:c r="D9" s="25" t="str">
        <x:v>Unverified planning assumption; replace with observed results.</x:v>
      </x:c>
      <x:c r="E9" s="50" t="n">
        <x:v>149</x:v>
      </x:c>
      <x:c r="F9" s="50" t="n">
        <x:v>149</x:v>
      </x:c>
      <x:c r="G9" s="50" t="n">
        <x:v>149</x:v>
      </x:c>
      <x:c r="H9" s="50" t="n">
        <x:v>149</x:v>
      </x:c>
      <x:c r="I9" s="50" t="n">
        <x:v>149</x:v>
      </x:c>
      <x:c r="J9" s="50" t="n">
        <x:v>149</x:v>
      </x:c>
      <x:c r="K9" s="50" t="n">
        <x:v>149</x:v>
      </x:c>
      <x:c r="L9" s="50" t="n">
        <x:v>149</x:v>
      </x:c>
      <x:c r="M9" s="50" t="n">
        <x:v>149</x:v>
      </x:c>
      <x:c r="N9" s="50" t="n">
        <x:v>149</x:v>
      </x:c>
      <x:c r="O9" s="50" t="n">
        <x:v>149</x:v>
      </x:c>
      <x:c r="P9" s="50" t="n">
        <x:v>149</x:v>
      </x:c>
    </x:row>
    <x:row r="10" ht="42" customHeight="1">
      <x:c r="A10" s="25" t="str">
        <x:v>Pessimistic</x:v>
      </x:c>
      <x:c r="B10" s="25" t="str">
        <x:v>New monitored sites</x:v>
      </x:c>
      <x:c r="C10" s="25" t="str">
        <x:v>sites</x:v>
      </x:c>
      <x:c r="D10" s="25" t="str">
        <x:v>Unverified planning assumption; replace with observed results.</x:v>
      </x:c>
      <x:c r="E10" s="50" t="n">
        <x:v>0</x:v>
      </x:c>
      <x:c r="F10" s="50" t="n">
        <x:v>0</x:v>
      </x:c>
      <x:c r="G10" s="50" t="n">
        <x:v>0</x:v>
      </x:c>
      <x:c r="H10" s="50" t="n">
        <x:v>0</x:v>
      </x:c>
      <x:c r="I10" s="50" t="n">
        <x:v>0</x:v>
      </x:c>
      <x:c r="J10" s="50" t="n">
        <x:v>0</x:v>
      </x:c>
      <x:c r="K10" s="50" t="n">
        <x:v>0</x:v>
      </x:c>
      <x:c r="L10" s="50" t="n">
        <x:v>0</x:v>
      </x:c>
      <x:c r="M10" s="50" t="n">
        <x:v>0</x:v>
      </x:c>
      <x:c r="N10" s="50" t="n">
        <x:v>0</x:v>
      </x:c>
      <x:c r="O10" s="50" t="n">
        <x:v>0</x:v>
      </x:c>
      <x:c r="P10" s="50" t="n">
        <x:v>0</x:v>
      </x:c>
    </x:row>
    <x:row r="11" ht="42" customHeight="1">
      <x:c r="A11" s="25" t="str">
        <x:v>Pessimistic</x:v>
      </x:c>
      <x:c r="B11" s="25" t="str">
        <x:v>Monitor monthly churn</x:v>
      </x:c>
      <x:c r="C11" s="25" t="str">
        <x:v>fraction</x:v>
      </x:c>
      <x:c r="D11" s="25" t="str">
        <x:v>Unverified planning assumption; replace with observed results.</x:v>
      </x:c>
      <x:c r="E11" s="50" t="n">
        <x:v>0.08</x:v>
      </x:c>
      <x:c r="F11" s="50" t="n">
        <x:v>0.08</x:v>
      </x:c>
      <x:c r="G11" s="50" t="n">
        <x:v>0.08</x:v>
      </x:c>
      <x:c r="H11" s="50" t="n">
        <x:v>0.08</x:v>
      </x:c>
      <x:c r="I11" s="50" t="n">
        <x:v>0.08</x:v>
      </x:c>
      <x:c r="J11" s="50" t="n">
        <x:v>0.08</x:v>
      </x:c>
      <x:c r="K11" s="50" t="n">
        <x:v>0.08</x:v>
      </x:c>
      <x:c r="L11" s="50" t="n">
        <x:v>0.08</x:v>
      </x:c>
      <x:c r="M11" s="50" t="n">
        <x:v>0.08</x:v>
      </x:c>
      <x:c r="N11" s="50" t="n">
        <x:v>0.08</x:v>
      </x:c>
      <x:c r="O11" s="50" t="n">
        <x:v>0.08</x:v>
      </x:c>
      <x:c r="P11" s="50" t="n">
        <x:v>0.08</x:v>
      </x:c>
    </x:row>
    <x:row r="12" ht="42" customHeight="1">
      <x:c r="A12" s="25" t="str">
        <x:v>Pessimistic</x:v>
      </x:c>
      <x:c r="B12" s="25" t="str">
        <x:v>Monitoring monthly price</x:v>
      </x:c>
      <x:c r="C12" s="25" t="str">
        <x:v>CAD</x:v>
      </x:c>
      <x:c r="D12" s="25" t="str">
        <x:v>Unverified planning assumption; replace with observed results.</x:v>
      </x:c>
      <x:c r="E12" s="50" t="n">
        <x:v>79</x:v>
      </x:c>
      <x:c r="F12" s="50" t="n">
        <x:v>79</x:v>
      </x:c>
      <x:c r="G12" s="50" t="n">
        <x:v>79</x:v>
      </x:c>
      <x:c r="H12" s="50" t="n">
        <x:v>79</x:v>
      </x:c>
      <x:c r="I12" s="50" t="n">
        <x:v>79</x:v>
      </x:c>
      <x:c r="J12" s="50" t="n">
        <x:v>79</x:v>
      </x:c>
      <x:c r="K12" s="50" t="n">
        <x:v>79</x:v>
      </x:c>
      <x:c r="L12" s="50" t="n">
        <x:v>79</x:v>
      </x:c>
      <x:c r="M12" s="50" t="n">
        <x:v>79</x:v>
      </x:c>
      <x:c r="N12" s="50" t="n">
        <x:v>79</x:v>
      </x:c>
      <x:c r="O12" s="50" t="n">
        <x:v>79</x:v>
      </x:c>
      <x:c r="P12" s="50" t="n">
        <x:v>79</x:v>
      </x:c>
    </x:row>
    <x:row r="13" ht="42" customHeight="1">
      <x:c r="A13" s="25" t="str">
        <x:v>Pessimistic</x:v>
      </x:c>
      <x:c r="B13" s="25" t="str">
        <x:v>Monitoring setup price</x:v>
      </x:c>
      <x:c r="C13" s="25" t="str">
        <x:v>CAD</x:v>
      </x:c>
      <x:c r="D13" s="25" t="str">
        <x:v>Unverified planning assumption; replace with observed results.</x:v>
      </x:c>
      <x:c r="E13" s="50" t="n">
        <x:v>149</x:v>
      </x:c>
      <x:c r="F13" s="50" t="n">
        <x:v>149</x:v>
      </x:c>
      <x:c r="G13" s="50" t="n">
        <x:v>149</x:v>
      </x:c>
      <x:c r="H13" s="50" t="n">
        <x:v>149</x:v>
      </x:c>
      <x:c r="I13" s="50" t="n">
        <x:v>149</x:v>
      </x:c>
      <x:c r="J13" s="50" t="n">
        <x:v>149</x:v>
      </x:c>
      <x:c r="K13" s="50" t="n">
        <x:v>149</x:v>
      </x:c>
      <x:c r="L13" s="50" t="n">
        <x:v>149</x:v>
      </x:c>
      <x:c r="M13" s="50" t="n">
        <x:v>149</x:v>
      </x:c>
      <x:c r="N13" s="50" t="n">
        <x:v>149</x:v>
      </x:c>
      <x:c r="O13" s="50" t="n">
        <x:v>149</x:v>
      </x:c>
      <x:c r="P13" s="50" t="n">
        <x:v>149</x:v>
      </x:c>
    </x:row>
    <x:row r="14" ht="42" customHeight="1">
      <x:c r="A14" s="25" t="str">
        <x:v>Pessimistic</x:v>
      </x:c>
      <x:c r="B14" s="25" t="str">
        <x:v>Toolkit license sales</x:v>
      </x:c>
      <x:c r="C14" s="25" t="str">
        <x:v>licenses</x:v>
      </x:c>
      <x:c r="D14" s="25" t="str">
        <x:v>Unverified planning assumption; replace with observed results.</x:v>
      </x:c>
      <x:c r="E14" s="50" t="n">
        <x:v>0</x:v>
      </x:c>
      <x:c r="F14" s="50" t="n">
        <x:v>0</x:v>
      </x:c>
      <x:c r="G14" s="50" t="n">
        <x:v>0</x:v>
      </x:c>
      <x:c r="H14" s="50" t="n">
        <x:v>0</x:v>
      </x:c>
      <x:c r="I14" s="50" t="n">
        <x:v>0</x:v>
      </x:c>
      <x:c r="J14" s="50" t="n">
        <x:v>0</x:v>
      </x:c>
      <x:c r="K14" s="50" t="n">
        <x:v>0</x:v>
      </x:c>
      <x:c r="L14" s="50" t="n">
        <x:v>0</x:v>
      </x:c>
      <x:c r="M14" s="50" t="n">
        <x:v>0</x:v>
      </x:c>
      <x:c r="N14" s="50" t="n">
        <x:v>0</x:v>
      </x:c>
      <x:c r="O14" s="50" t="n">
        <x:v>0</x:v>
      </x:c>
      <x:c r="P14" s="50" t="n">
        <x:v>0</x:v>
      </x:c>
    </x:row>
    <x:row r="15" ht="42" customHeight="1">
      <x:c r="A15" s="25" t="str">
        <x:v>Pessimistic</x:v>
      </x:c>
      <x:c r="B15" s="25" t="str">
        <x:v>Toolkit price</x:v>
      </x:c>
      <x:c r="C15" s="25" t="str">
        <x:v>CAD</x:v>
      </x:c>
      <x:c r="D15" s="25" t="str">
        <x:v>Unverified planning assumption; replace with observed results.</x:v>
      </x:c>
      <x:c r="E15" s="50" t="n">
        <x:v>49</x:v>
      </x:c>
      <x:c r="F15" s="50" t="n">
        <x:v>49</x:v>
      </x:c>
      <x:c r="G15" s="50" t="n">
        <x:v>49</x:v>
      </x:c>
      <x:c r="H15" s="50" t="n">
        <x:v>49</x:v>
      </x:c>
      <x:c r="I15" s="50" t="n">
        <x:v>49</x:v>
      </x:c>
      <x:c r="J15" s="50" t="n">
        <x:v>49</x:v>
      </x:c>
      <x:c r="K15" s="50" t="n">
        <x:v>49</x:v>
      </x:c>
      <x:c r="L15" s="50" t="n">
        <x:v>49</x:v>
      </x:c>
      <x:c r="M15" s="50" t="n">
        <x:v>49</x:v>
      </x:c>
      <x:c r="N15" s="50" t="n">
        <x:v>49</x:v>
      </x:c>
      <x:c r="O15" s="50" t="n">
        <x:v>49</x:v>
      </x:c>
      <x:c r="P15" s="50" t="n">
        <x:v>49</x:v>
      </x:c>
    </x:row>
    <x:row r="16" ht="42" customHeight="1">
      <x:c r="A16" s="25" t="str">
        <x:v>Pessimistic</x:v>
      </x:c>
      <x:c r="B16" s="25" t="str">
        <x:v>Fixed tools/hosting/admin</x:v>
      </x:c>
      <x:c r="C16" s="25" t="str">
        <x:v>CAD</x:v>
      </x:c>
      <x:c r="D16" s="25" t="str">
        <x:v>Unverified planning assumption; replace with observed results.</x:v>
      </x:c>
      <x:c r="E16" s="50" t="n">
        <x:v>30</x:v>
      </x:c>
      <x:c r="F16" s="50" t="n">
        <x:v>20</x:v>
      </x:c>
      <x:c r="G16" s="50" t="n">
        <x:v>0</x:v>
      </x:c>
      <x:c r="H16" s="50" t="n">
        <x:v>0</x:v>
      </x:c>
      <x:c r="I16" s="50" t="n">
        <x:v>0</x:v>
      </x:c>
      <x:c r="J16" s="50" t="n">
        <x:v>0</x:v>
      </x:c>
      <x:c r="K16" s="50" t="n">
        <x:v>0</x:v>
      </x:c>
      <x:c r="L16" s="50" t="n">
        <x:v>0</x:v>
      </x:c>
      <x:c r="M16" s="50" t="n">
        <x:v>0</x:v>
      </x:c>
      <x:c r="N16" s="50" t="n">
        <x:v>0</x:v>
      </x:c>
      <x:c r="O16" s="50" t="n">
        <x:v>0</x:v>
      </x:c>
      <x:c r="P16" s="50" t="n">
        <x:v>0</x:v>
      </x:c>
    </x:row>
    <x:row r="17" ht="42" customHeight="1">
      <x:c r="A17" s="25" t="str">
        <x:v>Pessimistic</x:v>
      </x:c>
      <x:c r="B17" s="25" t="str">
        <x:v>Cash acquisition spend</x:v>
      </x:c>
      <x:c r="C17" s="25" t="str">
        <x:v>CAD</x:v>
      </x:c>
      <x:c r="D17" s="25" t="str">
        <x:v>Unverified planning assumption; replace with observed results.</x:v>
      </x:c>
      <x:c r="E17" s="50" t="n">
        <x:v>25</x:v>
      </x:c>
      <x:c r="F17" s="50" t="n">
        <x:v>25</x:v>
      </x:c>
      <x:c r="G17" s="50" t="n">
        <x:v>0</x:v>
      </x:c>
      <x:c r="H17" s="50" t="n">
        <x:v>0</x:v>
      </x:c>
      <x:c r="I17" s="50" t="n">
        <x:v>0</x:v>
      </x:c>
      <x:c r="J17" s="50" t="n">
        <x:v>0</x:v>
      </x:c>
      <x:c r="K17" s="50" t="n">
        <x:v>0</x:v>
      </x:c>
      <x:c r="L17" s="50" t="n">
        <x:v>0</x:v>
      </x:c>
      <x:c r="M17" s="50" t="n">
        <x:v>0</x:v>
      </x:c>
      <x:c r="N17" s="50" t="n">
        <x:v>0</x:v>
      </x:c>
      <x:c r="O17" s="50" t="n">
        <x:v>0</x:v>
      </x:c>
      <x:c r="P17" s="50" t="n">
        <x:v>0</x:v>
      </x:c>
    </x:row>
    <x:row r="18" ht="42" customHeight="1">
      <x:c r="A18" s="25" t="str">
        <x:v>Pessimistic</x:v>
      </x:c>
      <x:c r="B18" s="25" t="str">
        <x:v>Paid contractor time</x:v>
      </x:c>
      <x:c r="C18" s="25" t="str">
        <x:v>hours</x:v>
      </x:c>
      <x:c r="D18" s="25" t="str">
        <x:v>Unverified planning assumption; replace with observed results.</x:v>
      </x:c>
      <x:c r="E18" s="50" t="n">
        <x:v>0</x:v>
      </x:c>
      <x:c r="F18" s="50" t="n">
        <x:v>0</x:v>
      </x:c>
      <x:c r="G18" s="50" t="n">
        <x:v>0</x:v>
      </x:c>
      <x:c r="H18" s="50" t="n">
        <x:v>0</x:v>
      </x:c>
      <x:c r="I18" s="50" t="n">
        <x:v>0</x:v>
      </x:c>
      <x:c r="J18" s="50" t="n">
        <x:v>0</x:v>
      </x:c>
      <x:c r="K18" s="50" t="n">
        <x:v>0</x:v>
      </x:c>
      <x:c r="L18" s="50" t="n">
        <x:v>0</x:v>
      </x:c>
      <x:c r="M18" s="50" t="n">
        <x:v>0</x:v>
      </x:c>
      <x:c r="N18" s="50" t="n">
        <x:v>0</x:v>
      </x:c>
      <x:c r="O18" s="50" t="n">
        <x:v>0</x:v>
      </x:c>
      <x:c r="P18" s="50" t="n">
        <x:v>0</x:v>
      </x:c>
    </x:row>
    <x:row r="19" ht="42" customHeight="1">
      <x:c r="A19" s="25" t="str">
        <x:v>Pessimistic</x:v>
      </x:c>
      <x:c r="B19" s="25" t="str">
        <x:v>Owner build/improvement time</x:v>
      </x:c>
      <x:c r="C19" s="25" t="str">
        <x:v>hours</x:v>
      </x:c>
      <x:c r="D19" s="25" t="str">
        <x:v>Unverified planning assumption; replace with observed results.</x:v>
      </x:c>
      <x:c r="E19" s="50" t="n">
        <x:v>20</x:v>
      </x:c>
      <x:c r="F19" s="50" t="n">
        <x:v>5</x:v>
      </x:c>
      <x:c r="G19" s="50" t="n">
        <x:v>0</x:v>
      </x:c>
      <x:c r="H19" s="50" t="n">
        <x:v>0</x:v>
      </x:c>
      <x:c r="I19" s="50" t="n">
        <x:v>0</x:v>
      </x:c>
      <x:c r="J19" s="50" t="n">
        <x:v>0</x:v>
      </x:c>
      <x:c r="K19" s="50" t="n">
        <x:v>0</x:v>
      </x:c>
      <x:c r="L19" s="50" t="n">
        <x:v>0</x:v>
      </x:c>
      <x:c r="M19" s="50" t="n">
        <x:v>0</x:v>
      </x:c>
      <x:c r="N19" s="50" t="n">
        <x:v>0</x:v>
      </x:c>
      <x:c r="O19" s="50" t="n">
        <x:v>0</x:v>
      </x:c>
      <x:c r="P19" s="50" t="n">
        <x:v>0</x:v>
      </x:c>
    </x:row>
    <x:row r="20" ht="42" customHeight="1">
      <x:c r="A20" s="25" t="str">
        <x:v>Pessimistic</x:v>
      </x:c>
      <x:c r="B20" s="25" t="str">
        <x:v>Owner sales/partner time</x:v>
      </x:c>
      <x:c r="C20" s="25" t="str">
        <x:v>hours</x:v>
      </x:c>
      <x:c r="D20" s="25" t="str">
        <x:v>Unverified planning assumption; replace with observed results.</x:v>
      </x:c>
      <x:c r="E20" s="50" t="n">
        <x:v>15</x:v>
      </x:c>
      <x:c r="F20" s="50" t="n">
        <x:v>12</x:v>
      </x:c>
      <x:c r="G20" s="50" t="n">
        <x:v>0</x:v>
      </x:c>
      <x:c r="H20" s="50" t="n">
        <x:v>0</x:v>
      </x:c>
      <x:c r="I20" s="50" t="n">
        <x:v>0</x:v>
      </x:c>
      <x:c r="J20" s="50" t="n">
        <x:v>0</x:v>
      </x:c>
      <x:c r="K20" s="50" t="n">
        <x:v>0</x:v>
      </x:c>
      <x:c r="L20" s="50" t="n">
        <x:v>0</x:v>
      </x:c>
      <x:c r="M20" s="50" t="n">
        <x:v>0</x:v>
      </x:c>
      <x:c r="N20" s="50" t="n">
        <x:v>0</x:v>
      </x:c>
      <x:c r="O20" s="50" t="n">
        <x:v>0</x:v>
      </x:c>
      <x:c r="P20" s="50" t="n">
        <x:v>0</x:v>
      </x:c>
    </x:row>
    <x:row r="21" ht="42" customHeight="1">
      <x:c r="A21" s="25" t="str">
        <x:v>Pessimistic</x:v>
      </x:c>
      <x:c r="B21" s="25" t="str">
        <x:v>Owner admin/management time</x:v>
      </x:c>
      <x:c r="C21" s="25" t="str">
        <x:v>hours</x:v>
      </x:c>
      <x:c r="D21" s="25" t="str">
        <x:v>Unverified planning assumption; replace with observed results.</x:v>
      </x:c>
      <x:c r="E21" s="50" t="n">
        <x:v>3</x:v>
      </x:c>
      <x:c r="F21" s="50" t="n">
        <x:v>3</x:v>
      </x:c>
      <x:c r="G21" s="50" t="n">
        <x:v>1</x:v>
      </x:c>
      <x:c r="H21" s="50" t="n">
        <x:v>0</x:v>
      </x:c>
      <x:c r="I21" s="50" t="n">
        <x:v>0</x:v>
      </x:c>
      <x:c r="J21" s="50" t="n">
        <x:v>0</x:v>
      </x:c>
      <x:c r="K21" s="50" t="n">
        <x:v>0</x:v>
      </x:c>
      <x:c r="L21" s="50" t="n">
        <x:v>0</x:v>
      </x:c>
      <x:c r="M21" s="50" t="n">
        <x:v>0</x:v>
      </x:c>
      <x:c r="N21" s="50" t="n">
        <x:v>0</x:v>
      </x:c>
      <x:c r="O21" s="50" t="n">
        <x:v>0</x:v>
      </x:c>
      <x:c r="P21" s="50" t="n">
        <x:v>0</x:v>
      </x:c>
    </x:row>
    <x:row r="22" ht="42" customHeight="1">
      <x:c r="A22" s="25" t="str">
        <x:v>Pessimistic</x:v>
      </x:c>
      <x:c r="B22" s="25" t="str">
        <x:v>Gross delivery time per setup</x:v>
      </x:c>
      <x:c r="C22" s="25" t="str">
        <x:v>hours</x:v>
      </x:c>
      <x:c r="D22" s="25" t="str">
        <x:v>Unverified planning assumption; replace with observed results.</x:v>
      </x:c>
      <x:c r="E22" s="50" t="n">
        <x:v>6</x:v>
      </x:c>
      <x:c r="F22" s="50" t="n">
        <x:v>6</x:v>
      </x:c>
      <x:c r="G22" s="50" t="n">
        <x:v>6</x:v>
      </x:c>
      <x:c r="H22" s="50" t="n">
        <x:v>6</x:v>
      </x:c>
      <x:c r="I22" s="50" t="n">
        <x:v>6</x:v>
      </x:c>
      <x:c r="J22" s="50" t="n">
        <x:v>6</x:v>
      </x:c>
      <x:c r="K22" s="50" t="n">
        <x:v>6</x:v>
      </x:c>
      <x:c r="L22" s="50" t="n">
        <x:v>6</x:v>
      </x:c>
      <x:c r="M22" s="50" t="n">
        <x:v>6</x:v>
      </x:c>
      <x:c r="N22" s="50" t="n">
        <x:v>6</x:v>
      </x:c>
      <x:c r="O22" s="50" t="n">
        <x:v>6</x:v>
      </x:c>
      <x:c r="P22" s="50" t="n">
        <x:v>6</x:v>
      </x:c>
    </x:row>
    <x:row r="23" ht="42" customHeight="1">
      <x:c r="A23" s="25" t="str">
        <x:v>Pessimistic</x:v>
      </x:c>
      <x:c r="B23" s="25" t="str">
        <x:v>Gross care time/client/month</x:v>
      </x:c>
      <x:c r="C23" s="25" t="str">
        <x:v>hours</x:v>
      </x:c>
      <x:c r="D23" s="25" t="str">
        <x:v>Unverified planning assumption; replace with observed results.</x:v>
      </x:c>
      <x:c r="E23" s="50" t="n">
        <x:v>0.5</x:v>
      </x:c>
      <x:c r="F23" s="50" t="n">
        <x:v>0.5</x:v>
      </x:c>
      <x:c r="G23" s="50" t="n">
        <x:v>0.5</x:v>
      </x:c>
      <x:c r="H23" s="50" t="n">
        <x:v>0.5</x:v>
      </x:c>
      <x:c r="I23" s="50" t="n">
        <x:v>0.5</x:v>
      </x:c>
      <x:c r="J23" s="50" t="n">
        <x:v>0.5</x:v>
      </x:c>
      <x:c r="K23" s="50" t="n">
        <x:v>0.5</x:v>
      </x:c>
      <x:c r="L23" s="50" t="n">
        <x:v>0.5</x:v>
      </x:c>
      <x:c r="M23" s="50" t="n">
        <x:v>0.5</x:v>
      </x:c>
      <x:c r="N23" s="50" t="n">
        <x:v>0.5</x:v>
      </x:c>
      <x:c r="O23" s="50" t="n">
        <x:v>0.5</x:v>
      </x:c>
      <x:c r="P23" s="50" t="n">
        <x:v>0.5</x:v>
      </x:c>
    </x:row>
    <x:row r="24" ht="42" customHeight="1">
      <x:c r="A24" s="25" t="str">
        <x:v>Pessimistic</x:v>
      </x:c>
      <x:c r="B24" s="25" t="str">
        <x:v>Gross monitor time/site/month</x:v>
      </x:c>
      <x:c r="C24" s="25" t="str">
        <x:v>hours</x:v>
      </x:c>
      <x:c r="D24" s="25" t="str">
        <x:v>Unverified planning assumption; replace with observed results.</x:v>
      </x:c>
      <x:c r="E24" s="50" t="n">
        <x:v>0.25</x:v>
      </x:c>
      <x:c r="F24" s="50" t="n">
        <x:v>0.25</x:v>
      </x:c>
      <x:c r="G24" s="50" t="n">
        <x:v>0.25</x:v>
      </x:c>
      <x:c r="H24" s="50" t="n">
        <x:v>0.25</x:v>
      </x:c>
      <x:c r="I24" s="50" t="n">
        <x:v>0.25</x:v>
      </x:c>
      <x:c r="J24" s="50" t="n">
        <x:v>0.25</x:v>
      </x:c>
      <x:c r="K24" s="50" t="n">
        <x:v>0.25</x:v>
      </x:c>
      <x:c r="L24" s="50" t="n">
        <x:v>0.25</x:v>
      </x:c>
      <x:c r="M24" s="50" t="n">
        <x:v>0.25</x:v>
      </x:c>
      <x:c r="N24" s="50" t="n">
        <x:v>0.25</x:v>
      </x:c>
      <x:c r="O24" s="50" t="n">
        <x:v>0.25</x:v>
      </x:c>
      <x:c r="P24" s="50" t="n">
        <x:v>0.25</x:v>
      </x:c>
    </x:row>
    <x:row r="25" ht="42" customHeight="1">
      <x:c r="A25" s="25" t="str">
        <x:v>Pessimistic</x:v>
      </x:c>
      <x:c r="B25" s="25" t="str">
        <x:v>Service revenue marketplace share</x:v>
      </x:c>
      <x:c r="C25" s="25" t="str">
        <x:v>fraction</x:v>
      </x:c>
      <x:c r="D25" s="25" t="str">
        <x:v>Unverified planning assumption; replace with observed results.</x:v>
      </x:c>
      <x:c r="E25" s="50" t="n">
        <x:v>0.5</x:v>
      </x:c>
      <x:c r="F25" s="50" t="n">
        <x:v>0.5</x:v>
      </x:c>
      <x:c r="G25" s="50" t="n">
        <x:v>0.5</x:v>
      </x:c>
      <x:c r="H25" s="50" t="n">
        <x:v>0.5</x:v>
      </x:c>
      <x:c r="I25" s="50" t="n">
        <x:v>0.5</x:v>
      </x:c>
      <x:c r="J25" s="50" t="n">
        <x:v>0.5</x:v>
      </x:c>
      <x:c r="K25" s="50" t="n">
        <x:v>0.5</x:v>
      </x:c>
      <x:c r="L25" s="50" t="n">
        <x:v>0.5</x:v>
      </x:c>
      <x:c r="M25" s="50" t="n">
        <x:v>0.5</x:v>
      </x:c>
      <x:c r="N25" s="50" t="n">
        <x:v>0.5</x:v>
      </x:c>
      <x:c r="O25" s="50" t="n">
        <x:v>0.5</x:v>
      </x:c>
      <x:c r="P25" s="50" t="n">
        <x:v>0.5</x:v>
      </x:c>
    </x:row>
    <x:row r="26" ht="42" customHeight="1">
      <x:c r="A26" s="25" t="str">
        <x:v>Pessimistic</x:v>
      </x:c>
      <x:c r="B26" s="25" t="str">
        <x:v>Qualified opportunity to setup sale</x:v>
      </x:c>
      <x:c r="C26" s="25" t="str">
        <x:v>fraction</x:v>
      </x:c>
      <x:c r="D26" s="25" t="str">
        <x:v>Unverified planning assumption; replace with observed results.</x:v>
      </x:c>
      <x:c r="E26" s="50" t="n">
        <x:v>0.02</x:v>
      </x:c>
      <x:c r="F26" s="50" t="n">
        <x:v>0.02</x:v>
      </x:c>
      <x:c r="G26" s="50" t="n">
        <x:v>0.02</x:v>
      </x:c>
      <x:c r="H26" s="50" t="n">
        <x:v>0.02</x:v>
      </x:c>
      <x:c r="I26" s="50" t="n">
        <x:v>0.02</x:v>
      </x:c>
      <x:c r="J26" s="50" t="n">
        <x:v>0.02</x:v>
      </x:c>
      <x:c r="K26" s="50" t="n">
        <x:v>0.02</x:v>
      </x:c>
      <x:c r="L26" s="50" t="n">
        <x:v>0.02</x:v>
      </x:c>
      <x:c r="M26" s="50" t="n">
        <x:v>0.02</x:v>
      </x:c>
      <x:c r="N26" s="50" t="n">
        <x:v>0.02</x:v>
      </x:c>
      <x:c r="O26" s="50" t="n">
        <x:v>0.02</x:v>
      </x:c>
      <x:c r="P26" s="50" t="n">
        <x:v>0.02</x:v>
      </x:c>
    </x:row>
    <x:row r="27" ht="42" customHeight="1">
      <x:c r="A27" s="25" t="str">
        <x:v>Pessimistic</x:v>
      </x:c>
      <x:c r="B27" s="25" t="str">
        <x:v>Qualified visit to license sale</x:v>
      </x:c>
      <x:c r="C27" s="25" t="str">
        <x:v>fraction</x:v>
      </x:c>
      <x:c r="D27" s="25" t="str">
        <x:v>Unverified planning assumption; replace with observed results.</x:v>
      </x:c>
      <x:c r="E27" s="50" t="n">
        <x:v>0.01</x:v>
      </x:c>
      <x:c r="F27" s="50" t="n">
        <x:v>0.01</x:v>
      </x:c>
      <x:c r="G27" s="50" t="n">
        <x:v>0.01</x:v>
      </x:c>
      <x:c r="H27" s="50" t="n">
        <x:v>0.01</x:v>
      </x:c>
      <x:c r="I27" s="50" t="n">
        <x:v>0.01</x:v>
      </x:c>
      <x:c r="J27" s="50" t="n">
        <x:v>0.01</x:v>
      </x:c>
      <x:c r="K27" s="50" t="n">
        <x:v>0.01</x:v>
      </x:c>
      <x:c r="L27" s="50" t="n">
        <x:v>0.01</x:v>
      </x:c>
      <x:c r="M27" s="50" t="n">
        <x:v>0.01</x:v>
      </x:c>
      <x:c r="N27" s="50" t="n">
        <x:v>0.01</x:v>
      </x:c>
      <x:c r="O27" s="50" t="n">
        <x:v>0.01</x:v>
      </x:c>
      <x:c r="P27" s="50" t="n">
        <x:v>0.01</x:v>
      </x:c>
    </x:row>
    <x:row r="28" ht="42" customHeight="1">
      <x:c r="A28" s="25" t="str">
        <x:v>Pessimistic</x:v>
      </x:c>
      <x:c r="B28" s="25" t="str">
        <x:v>One-time initial setup spend</x:v>
      </x:c>
      <x:c r="C28" s="25" t="str">
        <x:v>CAD</x:v>
      </x:c>
      <x:c r="D28" s="25" t="str">
        <x:v>Unverified planning assumption; replace with observed results.</x:v>
      </x:c>
      <x:c r="E28" s="50" t="n">
        <x:v>30</x:v>
      </x:c>
      <x:c r="F28" s="50" t="n">
        <x:v>30</x:v>
      </x:c>
      <x:c r="G28" s="50" t="n">
        <x:v>30</x:v>
      </x:c>
      <x:c r="H28" s="50" t="n">
        <x:v>30</x:v>
      </x:c>
      <x:c r="I28" s="50" t="n">
        <x:v>30</x:v>
      </x:c>
      <x:c r="J28" s="50" t="n">
        <x:v>30</x:v>
      </x:c>
      <x:c r="K28" s="50" t="n">
        <x:v>30</x:v>
      </x:c>
      <x:c r="L28" s="50" t="n">
        <x:v>30</x:v>
      </x:c>
      <x:c r="M28" s="50" t="n">
        <x:v>30</x:v>
      </x:c>
      <x:c r="N28" s="50" t="n">
        <x:v>30</x:v>
      </x:c>
      <x:c r="O28" s="50" t="n">
        <x:v>30</x:v>
      </x:c>
      <x:c r="P28" s="50" t="n">
        <x:v>30</x:v>
      </x:c>
    </x:row>
    <x:row r="29" ht="42" customHeight="1">
      <x:c r="A29" s="25" t="str">
        <x:v>Base</x:v>
      </x:c>
      <x:c r="B29" s="25" t="str">
        <x:v>New reporting setups delivered</x:v>
      </x:c>
      <x:c r="C29" s="25" t="str">
        <x:v>customers</x:v>
      </x:c>
      <x:c r="D29" s="25" t="str">
        <x:v>Unverified planning assumption; replace with observed results.</x:v>
      </x:c>
      <x:c r="E29" s="50" t="n">
        <x:v>2</x:v>
      </x:c>
      <x:c r="F29" s="50" t="n">
        <x:v>3</x:v>
      </x:c>
      <x:c r="G29" s="50" t="n">
        <x:v>4</x:v>
      </x:c>
      <x:c r="H29" s="50" t="n">
        <x:v>4</x:v>
      </x:c>
      <x:c r="I29" s="50" t="n">
        <x:v>4</x:v>
      </x:c>
      <x:c r="J29" s="50" t="n">
        <x:v>4</x:v>
      </x:c>
      <x:c r="K29" s="50" t="n">
        <x:v>5</x:v>
      </x:c>
      <x:c r="L29" s="50" t="n">
        <x:v>5</x:v>
      </x:c>
      <x:c r="M29" s="50" t="n">
        <x:v>5</x:v>
      </x:c>
      <x:c r="N29" s="50" t="n">
        <x:v>5</x:v>
      </x:c>
      <x:c r="O29" s="50" t="n">
        <x:v>5</x:v>
      </x:c>
      <x:c r="P29" s="50" t="n">
        <x:v>5</x:v>
      </x:c>
    </x:row>
    <x:row r="30" ht="42" customHeight="1">
      <x:c r="A30" s="25" t="str">
        <x:v>Base</x:v>
      </x:c>
      <x:c r="B30" s="25" t="str">
        <x:v>Average reporting setup price</x:v>
      </x:c>
      <x:c r="C30" s="25" t="str">
        <x:v>CAD</x:v>
      </x:c>
      <x:c r="D30" s="25" t="str">
        <x:v>Unverified planning assumption; replace with observed results.</x:v>
      </x:c>
      <x:c r="E30" s="50" t="n">
        <x:v>299</x:v>
      </x:c>
      <x:c r="F30" s="50" t="n">
        <x:v>699</x:v>
      </x:c>
      <x:c r="G30" s="50" t="n">
        <x:v>699</x:v>
      </x:c>
      <x:c r="H30" s="50" t="n">
        <x:v>699</x:v>
      </x:c>
      <x:c r="I30" s="50" t="n">
        <x:v>699</x:v>
      </x:c>
      <x:c r="J30" s="50" t="n">
        <x:v>699</x:v>
      </x:c>
      <x:c r="K30" s="50" t="n">
        <x:v>699</x:v>
      </x:c>
      <x:c r="L30" s="50" t="n">
        <x:v>699</x:v>
      </x:c>
      <x:c r="M30" s="50" t="n">
        <x:v>699</x:v>
      </x:c>
      <x:c r="N30" s="50" t="n">
        <x:v>699</x:v>
      </x:c>
      <x:c r="O30" s="50" t="n">
        <x:v>699</x:v>
      </x:c>
      <x:c r="P30" s="50" t="n">
        <x:v>699</x:v>
      </x:c>
    </x:row>
    <x:row r="31" ht="42" customHeight="1">
      <x:c r="A31" s="25" t="str">
        <x:v>Base</x:v>
      </x:c>
      <x:c r="B31" s="25" t="str">
        <x:v>Care attachment rate</x:v>
      </x:c>
      <x:c r="C31" s="25" t="str">
        <x:v>fraction</x:v>
      </x:c>
      <x:c r="D31" s="25" t="str">
        <x:v>Unverified planning assumption; replace with observed results.</x:v>
      </x:c>
      <x:c r="E31" s="50" t="n">
        <x:v>0.6</x:v>
      </x:c>
      <x:c r="F31" s="50" t="n">
        <x:v>0.6</x:v>
      </x:c>
      <x:c r="G31" s="50" t="n">
        <x:v>0.6</x:v>
      </x:c>
      <x:c r="H31" s="50" t="n">
        <x:v>0.6</x:v>
      </x:c>
      <x:c r="I31" s="50" t="n">
        <x:v>0.6</x:v>
      </x:c>
      <x:c r="J31" s="50" t="n">
        <x:v>0.6</x:v>
      </x:c>
      <x:c r="K31" s="50" t="n">
        <x:v>0.6</x:v>
      </x:c>
      <x:c r="L31" s="50" t="n">
        <x:v>0.6</x:v>
      </x:c>
      <x:c r="M31" s="50" t="n">
        <x:v>0.6</x:v>
      </x:c>
      <x:c r="N31" s="50" t="n">
        <x:v>0.6</x:v>
      </x:c>
      <x:c r="O31" s="50" t="n">
        <x:v>0.6</x:v>
      </x:c>
      <x:c r="P31" s="50" t="n">
        <x:v>0.6</x:v>
      </x:c>
    </x:row>
    <x:row r="32" ht="42" customHeight="1">
      <x:c r="A32" s="25" t="str">
        <x:v>Base</x:v>
      </x:c>
      <x:c r="B32" s="25" t="str">
        <x:v>Care monthly churn</x:v>
      </x:c>
      <x:c r="C32" s="25" t="str">
        <x:v>fraction</x:v>
      </x:c>
      <x:c r="D32" s="25" t="str">
        <x:v>Unverified planning assumption; replace with observed results.</x:v>
      </x:c>
      <x:c r="E32" s="50" t="n">
        <x:v>0.04</x:v>
      </x:c>
      <x:c r="F32" s="50" t="n">
        <x:v>0.04</x:v>
      </x:c>
      <x:c r="G32" s="50" t="n">
        <x:v>0.04</x:v>
      </x:c>
      <x:c r="H32" s="50" t="n">
        <x:v>0.04</x:v>
      </x:c>
      <x:c r="I32" s="50" t="n">
        <x:v>0.04</x:v>
      </x:c>
      <x:c r="J32" s="50" t="n">
        <x:v>0.04</x:v>
      </x:c>
      <x:c r="K32" s="50" t="n">
        <x:v>0.04</x:v>
      </x:c>
      <x:c r="L32" s="50" t="n">
        <x:v>0.04</x:v>
      </x:c>
      <x:c r="M32" s="50" t="n">
        <x:v>0.04</x:v>
      </x:c>
      <x:c r="N32" s="50" t="n">
        <x:v>0.04</x:v>
      </x:c>
      <x:c r="O32" s="50" t="n">
        <x:v>0.04</x:v>
      </x:c>
      <x:c r="P32" s="50" t="n">
        <x:v>0.04</x:v>
      </x:c>
    </x:row>
    <x:row r="33" ht="42" customHeight="1">
      <x:c r="A33" s="25" t="str">
        <x:v>Base</x:v>
      </x:c>
      <x:c r="B33" s="25" t="str">
        <x:v>Care monthly price</x:v>
      </x:c>
      <x:c r="C33" s="25" t="str">
        <x:v>CAD</x:v>
      </x:c>
      <x:c r="D33" s="25" t="str">
        <x:v>Unverified planning assumption; replace with observed results.</x:v>
      </x:c>
      <x:c r="E33" s="50" t="n">
        <x:v>149</x:v>
      </x:c>
      <x:c r="F33" s="50" t="n">
        <x:v>149</x:v>
      </x:c>
      <x:c r="G33" s="50" t="n">
        <x:v>149</x:v>
      </x:c>
      <x:c r="H33" s="50" t="n">
        <x:v>149</x:v>
      </x:c>
      <x:c r="I33" s="50" t="n">
        <x:v>149</x:v>
      </x:c>
      <x:c r="J33" s="50" t="n">
        <x:v>149</x:v>
      </x:c>
      <x:c r="K33" s="50" t="n">
        <x:v>149</x:v>
      </x:c>
      <x:c r="L33" s="50" t="n">
        <x:v>149</x:v>
      </x:c>
      <x:c r="M33" s="50" t="n">
        <x:v>149</x:v>
      </x:c>
      <x:c r="N33" s="50" t="n">
        <x:v>149</x:v>
      </x:c>
      <x:c r="O33" s="50" t="n">
        <x:v>149</x:v>
      </x:c>
      <x:c r="P33" s="50" t="n">
        <x:v>149</x:v>
      </x:c>
    </x:row>
    <x:row r="34" ht="42" customHeight="1">
      <x:c r="A34" s="25" t="str">
        <x:v>Base</x:v>
      </x:c>
      <x:c r="B34" s="25" t="str">
        <x:v>New monitored sites</x:v>
      </x:c>
      <x:c r="C34" s="25" t="str">
        <x:v>sites</x:v>
      </x:c>
      <x:c r="D34" s="25" t="str">
        <x:v>Unverified planning assumption; replace with observed results.</x:v>
      </x:c>
      <x:c r="E34" s="50" t="n">
        <x:v>0</x:v>
      </x:c>
      <x:c r="F34" s="50" t="n">
        <x:v>1</x:v>
      </x:c>
      <x:c r="G34" s="50" t="n">
        <x:v>2</x:v>
      </x:c>
      <x:c r="H34" s="50" t="n">
        <x:v>3</x:v>
      </x:c>
      <x:c r="I34" s="50" t="n">
        <x:v>3</x:v>
      </x:c>
      <x:c r="J34" s="50" t="n">
        <x:v>4</x:v>
      </x:c>
      <x:c r="K34" s="50" t="n">
        <x:v>4</x:v>
      </x:c>
      <x:c r="L34" s="50" t="n">
        <x:v>5</x:v>
      </x:c>
      <x:c r="M34" s="50" t="n">
        <x:v>5</x:v>
      </x:c>
      <x:c r="N34" s="50" t="n">
        <x:v>6</x:v>
      </x:c>
      <x:c r="O34" s="50" t="n">
        <x:v>6</x:v>
      </x:c>
      <x:c r="P34" s="50" t="n">
        <x:v>6</x:v>
      </x:c>
    </x:row>
    <x:row r="35" ht="42" customHeight="1">
      <x:c r="A35" s="25" t="str">
        <x:v>Base</x:v>
      </x:c>
      <x:c r="B35" s="25" t="str">
        <x:v>Monitor monthly churn</x:v>
      </x:c>
      <x:c r="C35" s="25" t="str">
        <x:v>fraction</x:v>
      </x:c>
      <x:c r="D35" s="25" t="str">
        <x:v>Unverified planning assumption; replace with observed results.</x:v>
      </x:c>
      <x:c r="E35" s="50" t="n">
        <x:v>0.04</x:v>
      </x:c>
      <x:c r="F35" s="50" t="n">
        <x:v>0.04</x:v>
      </x:c>
      <x:c r="G35" s="50" t="n">
        <x:v>0.04</x:v>
      </x:c>
      <x:c r="H35" s="50" t="n">
        <x:v>0.04</x:v>
      </x:c>
      <x:c r="I35" s="50" t="n">
        <x:v>0.04</x:v>
      </x:c>
      <x:c r="J35" s="50" t="n">
        <x:v>0.04</x:v>
      </x:c>
      <x:c r="K35" s="50" t="n">
        <x:v>0.04</x:v>
      </x:c>
      <x:c r="L35" s="50" t="n">
        <x:v>0.04</x:v>
      </x:c>
      <x:c r="M35" s="50" t="n">
        <x:v>0.04</x:v>
      </x:c>
      <x:c r="N35" s="50" t="n">
        <x:v>0.04</x:v>
      </x:c>
      <x:c r="O35" s="50" t="n">
        <x:v>0.04</x:v>
      </x:c>
      <x:c r="P35" s="50" t="n">
        <x:v>0.04</x:v>
      </x:c>
    </x:row>
    <x:row r="36" ht="42" customHeight="1">
      <x:c r="A36" s="25" t="str">
        <x:v>Base</x:v>
      </x:c>
      <x:c r="B36" s="25" t="str">
        <x:v>Monitoring monthly price</x:v>
      </x:c>
      <x:c r="C36" s="25" t="str">
        <x:v>CAD</x:v>
      </x:c>
      <x:c r="D36" s="25" t="str">
        <x:v>Unverified planning assumption; replace with observed results.</x:v>
      </x:c>
      <x:c r="E36" s="50" t="n">
        <x:v>79</x:v>
      </x:c>
      <x:c r="F36" s="50" t="n">
        <x:v>79</x:v>
      </x:c>
      <x:c r="G36" s="50" t="n">
        <x:v>79</x:v>
      </x:c>
      <x:c r="H36" s="50" t="n">
        <x:v>79</x:v>
      </x:c>
      <x:c r="I36" s="50" t="n">
        <x:v>79</x:v>
      </x:c>
      <x:c r="J36" s="50" t="n">
        <x:v>79</x:v>
      </x:c>
      <x:c r="K36" s="50" t="n">
        <x:v>79</x:v>
      </x:c>
      <x:c r="L36" s="50" t="n">
        <x:v>79</x:v>
      </x:c>
      <x:c r="M36" s="50" t="n">
        <x:v>79</x:v>
      </x:c>
      <x:c r="N36" s="50" t="n">
        <x:v>79</x:v>
      </x:c>
      <x:c r="O36" s="50" t="n">
        <x:v>79</x:v>
      </x:c>
      <x:c r="P36" s="50" t="n">
        <x:v>79</x:v>
      </x:c>
    </x:row>
    <x:row r="37" ht="42" customHeight="1">
      <x:c r="A37" s="25" t="str">
        <x:v>Base</x:v>
      </x:c>
      <x:c r="B37" s="25" t="str">
        <x:v>Monitoring setup price</x:v>
      </x:c>
      <x:c r="C37" s="25" t="str">
        <x:v>CAD</x:v>
      </x:c>
      <x:c r="D37" s="25" t="str">
        <x:v>Unverified planning assumption; replace with observed results.</x:v>
      </x:c>
      <x:c r="E37" s="50" t="n">
        <x:v>149</x:v>
      </x:c>
      <x:c r="F37" s="50" t="n">
        <x:v>149</x:v>
      </x:c>
      <x:c r="G37" s="50" t="n">
        <x:v>149</x:v>
      </x:c>
      <x:c r="H37" s="50" t="n">
        <x:v>149</x:v>
      </x:c>
      <x:c r="I37" s="50" t="n">
        <x:v>149</x:v>
      </x:c>
      <x:c r="J37" s="50" t="n">
        <x:v>149</x:v>
      </x:c>
      <x:c r="K37" s="50" t="n">
        <x:v>149</x:v>
      </x:c>
      <x:c r="L37" s="50" t="n">
        <x:v>149</x:v>
      </x:c>
      <x:c r="M37" s="50" t="n">
        <x:v>149</x:v>
      </x:c>
      <x:c r="N37" s="50" t="n">
        <x:v>149</x:v>
      </x:c>
      <x:c r="O37" s="50" t="n">
        <x:v>149</x:v>
      </x:c>
      <x:c r="P37" s="50" t="n">
        <x:v>149</x:v>
      </x:c>
    </x:row>
    <x:row r="38" ht="42" customHeight="1">
      <x:c r="A38" s="25" t="str">
        <x:v>Base</x:v>
      </x:c>
      <x:c r="B38" s="25" t="str">
        <x:v>Toolkit license sales</x:v>
      </x:c>
      <x:c r="C38" s="25" t="str">
        <x:v>licenses</x:v>
      </x:c>
      <x:c r="D38" s="25" t="str">
        <x:v>Unverified planning assumption; replace with observed results.</x:v>
      </x:c>
      <x:c r="E38" s="50" t="n">
        <x:v>0</x:v>
      </x:c>
      <x:c r="F38" s="50" t="n">
        <x:v>2</x:v>
      </x:c>
      <x:c r="G38" s="50" t="n">
        <x:v>5</x:v>
      </x:c>
      <x:c r="H38" s="50" t="n">
        <x:v>8</x:v>
      </x:c>
      <x:c r="I38" s="50" t="n">
        <x:v>10</x:v>
      </x:c>
      <x:c r="J38" s="50" t="n">
        <x:v>12</x:v>
      </x:c>
      <x:c r="K38" s="50" t="n">
        <x:v>15</x:v>
      </x:c>
      <x:c r="L38" s="50" t="n">
        <x:v>18</x:v>
      </x:c>
      <x:c r="M38" s="50" t="n">
        <x:v>20</x:v>
      </x:c>
      <x:c r="N38" s="50" t="n">
        <x:v>25</x:v>
      </x:c>
      <x:c r="O38" s="50" t="n">
        <x:v>30</x:v>
      </x:c>
      <x:c r="P38" s="50" t="n">
        <x:v>35</x:v>
      </x:c>
    </x:row>
    <x:row r="39" ht="42" customHeight="1">
      <x:c r="A39" s="25" t="str">
        <x:v>Base</x:v>
      </x:c>
      <x:c r="B39" s="25" t="str">
        <x:v>Toolkit price</x:v>
      </x:c>
      <x:c r="C39" s="25" t="str">
        <x:v>CAD</x:v>
      </x:c>
      <x:c r="D39" s="25" t="str">
        <x:v>Unverified planning assumption; replace with observed results.</x:v>
      </x:c>
      <x:c r="E39" s="50" t="n">
        <x:v>49</x:v>
      </x:c>
      <x:c r="F39" s="50" t="n">
        <x:v>49</x:v>
      </x:c>
      <x:c r="G39" s="50" t="n">
        <x:v>49</x:v>
      </x:c>
      <x:c r="H39" s="50" t="n">
        <x:v>49</x:v>
      </x:c>
      <x:c r="I39" s="50" t="n">
        <x:v>49</x:v>
      </x:c>
      <x:c r="J39" s="50" t="n">
        <x:v>49</x:v>
      </x:c>
      <x:c r="K39" s="50" t="n">
        <x:v>49</x:v>
      </x:c>
      <x:c r="L39" s="50" t="n">
        <x:v>49</x:v>
      </x:c>
      <x:c r="M39" s="50" t="n">
        <x:v>49</x:v>
      </x:c>
      <x:c r="N39" s="50" t="n">
        <x:v>49</x:v>
      </x:c>
      <x:c r="O39" s="50" t="n">
        <x:v>49</x:v>
      </x:c>
      <x:c r="P39" s="50" t="n">
        <x:v>49</x:v>
      </x:c>
    </x:row>
    <x:row r="40" ht="42" customHeight="1">
      <x:c r="A40" s="25" t="str">
        <x:v>Base</x:v>
      </x:c>
      <x:c r="B40" s="25" t="str">
        <x:v>Fixed tools/hosting/admin</x:v>
      </x:c>
      <x:c r="C40" s="25" t="str">
        <x:v>CAD</x:v>
      </x:c>
      <x:c r="D40" s="25" t="str">
        <x:v>Unverified planning assumption; replace with observed results.</x:v>
      </x:c>
      <x:c r="E40" s="50" t="n">
        <x:v>60</x:v>
      </x:c>
      <x:c r="F40" s="50" t="n">
        <x:v>85</x:v>
      </x:c>
      <x:c r="G40" s="50" t="n">
        <x:v>120</x:v>
      </x:c>
      <x:c r="H40" s="50" t="n">
        <x:v>135</x:v>
      </x:c>
      <x:c r="I40" s="50" t="n">
        <x:v>150</x:v>
      </x:c>
      <x:c r="J40" s="50" t="n">
        <x:v>175</x:v>
      </x:c>
      <x:c r="K40" s="50" t="n">
        <x:v>200</x:v>
      </x:c>
      <x:c r="L40" s="50" t="n">
        <x:v>225</x:v>
      </x:c>
      <x:c r="M40" s="50" t="n">
        <x:v>250</x:v>
      </x:c>
      <x:c r="N40" s="50" t="n">
        <x:v>275</x:v>
      </x:c>
      <x:c r="O40" s="50" t="n">
        <x:v>300</x:v>
      </x:c>
      <x:c r="P40" s="50" t="n">
        <x:v>325</x:v>
      </x:c>
    </x:row>
    <x:row r="41" ht="42" customHeight="1">
      <x:c r="A41" s="25" t="str">
        <x:v>Base</x:v>
      </x:c>
      <x:c r="B41" s="25" t="str">
        <x:v>Cash acquisition spend</x:v>
      </x:c>
      <x:c r="C41" s="25" t="str">
        <x:v>CAD</x:v>
      </x:c>
      <x:c r="D41" s="25" t="str">
        <x:v>Unverified planning assumption; replace with observed results.</x:v>
      </x:c>
      <x:c r="E41" s="50" t="n">
        <x:v>40</x:v>
      </x:c>
      <x:c r="F41" s="50" t="n">
        <x:v>75</x:v>
      </x:c>
      <x:c r="G41" s="50" t="n">
        <x:v>100</x:v>
      </x:c>
      <x:c r="H41" s="50" t="n">
        <x:v>140</x:v>
      </x:c>
      <x:c r="I41" s="50" t="n">
        <x:v>175</x:v>
      </x:c>
      <x:c r="J41" s="50" t="n">
        <x:v>200</x:v>
      </x:c>
      <x:c r="K41" s="50" t="n">
        <x:v>230</x:v>
      </x:c>
      <x:c r="L41" s="50" t="n">
        <x:v>260</x:v>
      </x:c>
      <x:c r="M41" s="50" t="n">
        <x:v>300</x:v>
      </x:c>
      <x:c r="N41" s="50" t="n">
        <x:v>340</x:v>
      </x:c>
      <x:c r="O41" s="50" t="n">
        <x:v>380</x:v>
      </x:c>
      <x:c r="P41" s="50" t="n">
        <x:v>420</x:v>
      </x:c>
    </x:row>
    <x:row r="42" ht="42" customHeight="1">
      <x:c r="A42" s="25" t="str">
        <x:v>Base</x:v>
      </x:c>
      <x:c r="B42" s="25" t="str">
        <x:v>Paid contractor time</x:v>
      </x:c>
      <x:c r="C42" s="25" t="str">
        <x:v>hours</x:v>
      </x:c>
      <x:c r="D42" s="25" t="str">
        <x:v>Unverified planning assumption; replace with observed results.</x:v>
      </x:c>
      <x:c r="E42" s="50" t="n">
        <x:v>0</x:v>
      </x:c>
      <x:c r="F42" s="50" t="n">
        <x:v>0</x:v>
      </x:c>
      <x:c r="G42" s="50" t="n">
        <x:v>0</x:v>
      </x:c>
      <x:c r="H42" s="50" t="n">
        <x:v>5</x:v>
      </x:c>
      <x:c r="I42" s="50" t="n">
        <x:v>7</x:v>
      </x:c>
      <x:c r="J42" s="50" t="n">
        <x:v>10</x:v>
      </x:c>
      <x:c r="K42" s="50" t="n">
        <x:v>15</x:v>
      </x:c>
      <x:c r="L42" s="50" t="n">
        <x:v>20</x:v>
      </x:c>
      <x:c r="M42" s="50" t="n">
        <x:v>25</x:v>
      </x:c>
      <x:c r="N42" s="50" t="n">
        <x:v>30</x:v>
      </x:c>
      <x:c r="O42" s="50" t="n">
        <x:v>35</x:v>
      </x:c>
      <x:c r="P42" s="50" t="n">
        <x:v>40</x:v>
      </x:c>
    </x:row>
    <x:row r="43" ht="42" customHeight="1">
      <x:c r="A43" s="25" t="str">
        <x:v>Base</x:v>
      </x:c>
      <x:c r="B43" s="25" t="str">
        <x:v>Owner build/improvement time</x:v>
      </x:c>
      <x:c r="C43" s="25" t="str">
        <x:v>hours</x:v>
      </x:c>
      <x:c r="D43" s="25" t="str">
        <x:v>Unverified planning assumption; replace with observed results.</x:v>
      </x:c>
      <x:c r="E43" s="50" t="n">
        <x:v>25</x:v>
      </x:c>
      <x:c r="F43" s="50" t="n">
        <x:v>18</x:v>
      </x:c>
      <x:c r="G43" s="50" t="n">
        <x:v>12</x:v>
      </x:c>
      <x:c r="H43" s="50" t="n">
        <x:v>10</x:v>
      </x:c>
      <x:c r="I43" s="50" t="n">
        <x:v>8</x:v>
      </x:c>
      <x:c r="J43" s="50" t="n">
        <x:v>7</x:v>
      </x:c>
      <x:c r="K43" s="50" t="n">
        <x:v>6</x:v>
      </x:c>
      <x:c r="L43" s="50" t="n">
        <x:v>5</x:v>
      </x:c>
      <x:c r="M43" s="50" t="n">
        <x:v>5</x:v>
      </x:c>
      <x:c r="N43" s="50" t="n">
        <x:v>5</x:v>
      </x:c>
      <x:c r="O43" s="50" t="n">
        <x:v>5</x:v>
      </x:c>
      <x:c r="P43" s="50" t="n">
        <x:v>5</x:v>
      </x:c>
    </x:row>
    <x:row r="44" ht="42" customHeight="1">
      <x:c r="A44" s="25" t="str">
        <x:v>Base</x:v>
      </x:c>
      <x:c r="B44" s="25" t="str">
        <x:v>Owner sales/partner time</x:v>
      </x:c>
      <x:c r="C44" s="25" t="str">
        <x:v>hours</x:v>
      </x:c>
      <x:c r="D44" s="25" t="str">
        <x:v>Unverified planning assumption; replace with observed results.</x:v>
      </x:c>
      <x:c r="E44" s="50" t="n">
        <x:v>30</x:v>
      </x:c>
      <x:c r="F44" s="50" t="n">
        <x:v>30</x:v>
      </x:c>
      <x:c r="G44" s="50" t="n">
        <x:v>32</x:v>
      </x:c>
      <x:c r="H44" s="50" t="n">
        <x:v>32</x:v>
      </x:c>
      <x:c r="I44" s="50" t="n">
        <x:v>32</x:v>
      </x:c>
      <x:c r="J44" s="50" t="n">
        <x:v>32</x:v>
      </x:c>
      <x:c r="K44" s="50" t="n">
        <x:v>35</x:v>
      </x:c>
      <x:c r="L44" s="50" t="n">
        <x:v>35</x:v>
      </x:c>
      <x:c r="M44" s="50" t="n">
        <x:v>35</x:v>
      </x:c>
      <x:c r="N44" s="50" t="n">
        <x:v>35</x:v>
      </x:c>
      <x:c r="O44" s="50" t="n">
        <x:v>35</x:v>
      </x:c>
      <x:c r="P44" s="50" t="n">
        <x:v>35</x:v>
      </x:c>
    </x:row>
    <x:row r="45" ht="42" customHeight="1">
      <x:c r="A45" s="25" t="str">
        <x:v>Base</x:v>
      </x:c>
      <x:c r="B45" s="25" t="str">
        <x:v>Owner admin/management time</x:v>
      </x:c>
      <x:c r="C45" s="25" t="str">
        <x:v>hours</x:v>
      </x:c>
      <x:c r="D45" s="25" t="str">
        <x:v>Unverified planning assumption; replace with observed results.</x:v>
      </x:c>
      <x:c r="E45" s="50" t="n">
        <x:v>5</x:v>
      </x:c>
      <x:c r="F45" s="50" t="n">
        <x:v>5</x:v>
      </x:c>
      <x:c r="G45" s="50" t="n">
        <x:v>6</x:v>
      </x:c>
      <x:c r="H45" s="50" t="n">
        <x:v>6</x:v>
      </x:c>
      <x:c r="I45" s="50" t="n">
        <x:v>6</x:v>
      </x:c>
      <x:c r="J45" s="50" t="n">
        <x:v>6</x:v>
      </x:c>
      <x:c r="K45" s="50" t="n">
        <x:v>7</x:v>
      </x:c>
      <x:c r="L45" s="50" t="n">
        <x:v>7</x:v>
      </x:c>
      <x:c r="M45" s="50" t="n">
        <x:v>7</x:v>
      </x:c>
      <x:c r="N45" s="50" t="n">
        <x:v>7</x:v>
      </x:c>
      <x:c r="O45" s="50" t="n">
        <x:v>7</x:v>
      </x:c>
      <x:c r="P45" s="50" t="n">
        <x:v>7</x:v>
      </x:c>
    </x:row>
    <x:row r="46" ht="42" customHeight="1">
      <x:c r="A46" s="25" t="str">
        <x:v>Base</x:v>
      </x:c>
      <x:c r="B46" s="25" t="str">
        <x:v>Gross delivery time per setup</x:v>
      </x:c>
      <x:c r="C46" s="25" t="str">
        <x:v>hours</x:v>
      </x:c>
      <x:c r="D46" s="25" t="str">
        <x:v>Unverified planning assumption; replace with observed results.</x:v>
      </x:c>
      <x:c r="E46" s="50" t="n">
        <x:v>5</x:v>
      </x:c>
      <x:c r="F46" s="50" t="n">
        <x:v>5</x:v>
      </x:c>
      <x:c r="G46" s="50" t="n">
        <x:v>5</x:v>
      </x:c>
      <x:c r="H46" s="50" t="n">
        <x:v>5</x:v>
      </x:c>
      <x:c r="I46" s="50" t="n">
        <x:v>5</x:v>
      </x:c>
      <x:c r="J46" s="50" t="n">
        <x:v>5</x:v>
      </x:c>
      <x:c r="K46" s="50" t="n">
        <x:v>5</x:v>
      </x:c>
      <x:c r="L46" s="50" t="n">
        <x:v>5</x:v>
      </x:c>
      <x:c r="M46" s="50" t="n">
        <x:v>5</x:v>
      </x:c>
      <x:c r="N46" s="50" t="n">
        <x:v>5</x:v>
      </x:c>
      <x:c r="O46" s="50" t="n">
        <x:v>5</x:v>
      </x:c>
      <x:c r="P46" s="50" t="n">
        <x:v>5</x:v>
      </x:c>
    </x:row>
    <x:row r="47" ht="42" customHeight="1">
      <x:c r="A47" s="25" t="str">
        <x:v>Base</x:v>
      </x:c>
      <x:c r="B47" s="25" t="str">
        <x:v>Gross care time/client/month</x:v>
      </x:c>
      <x:c r="C47" s="25" t="str">
        <x:v>hours</x:v>
      </x:c>
      <x:c r="D47" s="25" t="str">
        <x:v>Unverified planning assumption; replace with observed results.</x:v>
      </x:c>
      <x:c r="E47" s="50" t="n">
        <x:v>0.5</x:v>
      </x:c>
      <x:c r="F47" s="50" t="n">
        <x:v>0.5</x:v>
      </x:c>
      <x:c r="G47" s="50" t="n">
        <x:v>0.5</x:v>
      </x:c>
      <x:c r="H47" s="50" t="n">
        <x:v>0.5</x:v>
      </x:c>
      <x:c r="I47" s="50" t="n">
        <x:v>0.5</x:v>
      </x:c>
      <x:c r="J47" s="50" t="n">
        <x:v>0.5</x:v>
      </x:c>
      <x:c r="K47" s="50" t="n">
        <x:v>0.5</x:v>
      </x:c>
      <x:c r="L47" s="50" t="n">
        <x:v>0.5</x:v>
      </x:c>
      <x:c r="M47" s="50" t="n">
        <x:v>0.5</x:v>
      </x:c>
      <x:c r="N47" s="50" t="n">
        <x:v>0.5</x:v>
      </x:c>
      <x:c r="O47" s="50" t="n">
        <x:v>0.5</x:v>
      </x:c>
      <x:c r="P47" s="50" t="n">
        <x:v>0.5</x:v>
      </x:c>
    </x:row>
    <x:row r="48" ht="42" customHeight="1">
      <x:c r="A48" s="25" t="str">
        <x:v>Base</x:v>
      </x:c>
      <x:c r="B48" s="25" t="str">
        <x:v>Gross monitor time/site/month</x:v>
      </x:c>
      <x:c r="C48" s="25" t="str">
        <x:v>hours</x:v>
      </x:c>
      <x:c r="D48" s="25" t="str">
        <x:v>Unverified planning assumption; replace with observed results.</x:v>
      </x:c>
      <x:c r="E48" s="50" t="n">
        <x:v>0.25</x:v>
      </x:c>
      <x:c r="F48" s="50" t="n">
        <x:v>0.25</x:v>
      </x:c>
      <x:c r="G48" s="50" t="n">
        <x:v>0.25</x:v>
      </x:c>
      <x:c r="H48" s="50" t="n">
        <x:v>0.25</x:v>
      </x:c>
      <x:c r="I48" s="50" t="n">
        <x:v>0.25</x:v>
      </x:c>
      <x:c r="J48" s="50" t="n">
        <x:v>0.25</x:v>
      </x:c>
      <x:c r="K48" s="50" t="n">
        <x:v>0.25</x:v>
      </x:c>
      <x:c r="L48" s="50" t="n">
        <x:v>0.25</x:v>
      </x:c>
      <x:c r="M48" s="50" t="n">
        <x:v>0.25</x:v>
      </x:c>
      <x:c r="N48" s="50" t="n">
        <x:v>0.25</x:v>
      </x:c>
      <x:c r="O48" s="50" t="n">
        <x:v>0.25</x:v>
      </x:c>
      <x:c r="P48" s="50" t="n">
        <x:v>0.25</x:v>
      </x:c>
    </x:row>
    <x:row r="49" ht="42" customHeight="1">
      <x:c r="A49" s="25" t="str">
        <x:v>Base</x:v>
      </x:c>
      <x:c r="B49" s="25" t="str">
        <x:v>Service revenue marketplace share</x:v>
      </x:c>
      <x:c r="C49" s="25" t="str">
        <x:v>fraction</x:v>
      </x:c>
      <x:c r="D49" s="25" t="str">
        <x:v>Unverified planning assumption; replace with observed results.</x:v>
      </x:c>
      <x:c r="E49" s="50" t="n">
        <x:v>0.5</x:v>
      </x:c>
      <x:c r="F49" s="50" t="n">
        <x:v>0.5</x:v>
      </x:c>
      <x:c r="G49" s="50" t="n">
        <x:v>0.5</x:v>
      </x:c>
      <x:c r="H49" s="50" t="n">
        <x:v>0.5</x:v>
      </x:c>
      <x:c r="I49" s="50" t="n">
        <x:v>0.5</x:v>
      </x:c>
      <x:c r="J49" s="50" t="n">
        <x:v>0.5</x:v>
      </x:c>
      <x:c r="K49" s="50" t="n">
        <x:v>0.5</x:v>
      </x:c>
      <x:c r="L49" s="50" t="n">
        <x:v>0.5</x:v>
      </x:c>
      <x:c r="M49" s="50" t="n">
        <x:v>0.5</x:v>
      </x:c>
      <x:c r="N49" s="50" t="n">
        <x:v>0.5</x:v>
      </x:c>
      <x:c r="O49" s="50" t="n">
        <x:v>0.5</x:v>
      </x:c>
      <x:c r="P49" s="50" t="n">
        <x:v>0.5</x:v>
      </x:c>
    </x:row>
    <x:row r="50" ht="42" customHeight="1">
      <x:c r="A50" s="25" t="str">
        <x:v>Base</x:v>
      </x:c>
      <x:c r="B50" s="25" t="str">
        <x:v>Qualified opportunity to setup sale</x:v>
      </x:c>
      <x:c r="C50" s="25" t="str">
        <x:v>fraction</x:v>
      </x:c>
      <x:c r="D50" s="25" t="str">
        <x:v>Unverified planning assumption; replace with observed results.</x:v>
      </x:c>
      <x:c r="E50" s="50" t="n">
        <x:v>0.05</x:v>
      </x:c>
      <x:c r="F50" s="50" t="n">
        <x:v>0.05</x:v>
      </x:c>
      <x:c r="G50" s="50" t="n">
        <x:v>0.05</x:v>
      </x:c>
      <x:c r="H50" s="50" t="n">
        <x:v>0.05</x:v>
      </x:c>
      <x:c r="I50" s="50" t="n">
        <x:v>0.05</x:v>
      </x:c>
      <x:c r="J50" s="50" t="n">
        <x:v>0.05</x:v>
      </x:c>
      <x:c r="K50" s="50" t="n">
        <x:v>0.05</x:v>
      </x:c>
      <x:c r="L50" s="50" t="n">
        <x:v>0.05</x:v>
      </x:c>
      <x:c r="M50" s="50" t="n">
        <x:v>0.05</x:v>
      </x:c>
      <x:c r="N50" s="50" t="n">
        <x:v>0.05</x:v>
      </x:c>
      <x:c r="O50" s="50" t="n">
        <x:v>0.05</x:v>
      </x:c>
      <x:c r="P50" s="50" t="n">
        <x:v>0.05</x:v>
      </x:c>
    </x:row>
    <x:row r="51" ht="42" customHeight="1">
      <x:c r="A51" s="25" t="str">
        <x:v>Base</x:v>
      </x:c>
      <x:c r="B51" s="25" t="str">
        <x:v>Qualified visit to license sale</x:v>
      </x:c>
      <x:c r="C51" s="25" t="str">
        <x:v>fraction</x:v>
      </x:c>
      <x:c r="D51" s="25" t="str">
        <x:v>Unverified planning assumption; replace with observed results.</x:v>
      </x:c>
      <x:c r="E51" s="50" t="n">
        <x:v>0.02</x:v>
      </x:c>
      <x:c r="F51" s="50" t="n">
        <x:v>0.02</x:v>
      </x:c>
      <x:c r="G51" s="50" t="n">
        <x:v>0.02</x:v>
      </x:c>
      <x:c r="H51" s="50" t="n">
        <x:v>0.02</x:v>
      </x:c>
      <x:c r="I51" s="50" t="n">
        <x:v>0.02</x:v>
      </x:c>
      <x:c r="J51" s="50" t="n">
        <x:v>0.02</x:v>
      </x:c>
      <x:c r="K51" s="50" t="n">
        <x:v>0.02</x:v>
      </x:c>
      <x:c r="L51" s="50" t="n">
        <x:v>0.02</x:v>
      </x:c>
      <x:c r="M51" s="50" t="n">
        <x:v>0.02</x:v>
      </x:c>
      <x:c r="N51" s="50" t="n">
        <x:v>0.02</x:v>
      </x:c>
      <x:c r="O51" s="50" t="n">
        <x:v>0.02</x:v>
      </x:c>
      <x:c r="P51" s="50" t="n">
        <x:v>0.02</x:v>
      </x:c>
    </x:row>
    <x:row r="52" ht="42" customHeight="1">
      <x:c r="A52" s="25" t="str">
        <x:v>Base</x:v>
      </x:c>
      <x:c r="B52" s="25" t="str">
        <x:v>One-time initial setup spend</x:v>
      </x:c>
      <x:c r="C52" s="25" t="str">
        <x:v>CAD</x:v>
      </x:c>
      <x:c r="D52" s="25" t="str">
        <x:v>Unverified planning assumption; replace with observed results.</x:v>
      </x:c>
      <x:c r="E52" s="50" t="n">
        <x:v>50</x:v>
      </x:c>
      <x:c r="F52" s="50" t="n">
        <x:v>50</x:v>
      </x:c>
      <x:c r="G52" s="50" t="n">
        <x:v>50</x:v>
      </x:c>
      <x:c r="H52" s="50" t="n">
        <x:v>50</x:v>
      </x:c>
      <x:c r="I52" s="50" t="n">
        <x:v>50</x:v>
      </x:c>
      <x:c r="J52" s="50" t="n">
        <x:v>50</x:v>
      </x:c>
      <x:c r="K52" s="50" t="n">
        <x:v>50</x:v>
      </x:c>
      <x:c r="L52" s="50" t="n">
        <x:v>50</x:v>
      </x:c>
      <x:c r="M52" s="50" t="n">
        <x:v>50</x:v>
      </x:c>
      <x:c r="N52" s="50" t="n">
        <x:v>50</x:v>
      </x:c>
      <x:c r="O52" s="50" t="n">
        <x:v>50</x:v>
      </x:c>
      <x:c r="P52" s="50" t="n">
        <x:v>50</x:v>
      </x:c>
    </x:row>
    <x:row r="53" ht="42" customHeight="1">
      <x:c r="A53" s="25" t="str">
        <x:v>Optimistic</x:v>
      </x:c>
      <x:c r="B53" s="25" t="str">
        <x:v>New reporting setups delivered</x:v>
      </x:c>
      <x:c r="C53" s="25" t="str">
        <x:v>customers</x:v>
      </x:c>
      <x:c r="D53" s="25" t="str">
        <x:v>Unverified planning assumption; replace with observed results.</x:v>
      </x:c>
      <x:c r="E53" s="50" t="n">
        <x:v>3</x:v>
      </x:c>
      <x:c r="F53" s="50" t="n">
        <x:v>5</x:v>
      </x:c>
      <x:c r="G53" s="50" t="n">
        <x:v>6</x:v>
      </x:c>
      <x:c r="H53" s="50" t="n">
        <x:v>8</x:v>
      </x:c>
      <x:c r="I53" s="50" t="n">
        <x:v>8</x:v>
      </x:c>
      <x:c r="J53" s="50" t="n">
        <x:v>10</x:v>
      </x:c>
      <x:c r="K53" s="50" t="n">
        <x:v>10</x:v>
      </x:c>
      <x:c r="L53" s="50" t="n">
        <x:v>12</x:v>
      </x:c>
      <x:c r="M53" s="50" t="n">
        <x:v>12</x:v>
      </x:c>
      <x:c r="N53" s="50" t="n">
        <x:v>14</x:v>
      </x:c>
      <x:c r="O53" s="50" t="n">
        <x:v>14</x:v>
      </x:c>
      <x:c r="P53" s="50" t="n">
        <x:v>16</x:v>
      </x:c>
    </x:row>
    <x:row r="54" ht="42" customHeight="1">
      <x:c r="A54" s="25" t="str">
        <x:v>Optimistic</x:v>
      </x:c>
      <x:c r="B54" s="25" t="str">
        <x:v>Average reporting setup price</x:v>
      </x:c>
      <x:c r="C54" s="25" t="str">
        <x:v>CAD</x:v>
      </x:c>
      <x:c r="D54" s="25" t="str">
        <x:v>Unverified planning assumption; replace with observed results.</x:v>
      </x:c>
      <x:c r="E54" s="50" t="n">
        <x:v>499</x:v>
      </x:c>
      <x:c r="F54" s="50" t="n">
        <x:v>899</x:v>
      </x:c>
      <x:c r="G54" s="50" t="n">
        <x:v>899</x:v>
      </x:c>
      <x:c r="H54" s="50" t="n">
        <x:v>899</x:v>
      </x:c>
      <x:c r="I54" s="50" t="n">
        <x:v>899</x:v>
      </x:c>
      <x:c r="J54" s="50" t="n">
        <x:v>999</x:v>
      </x:c>
      <x:c r="K54" s="50" t="n">
        <x:v>999</x:v>
      </x:c>
      <x:c r="L54" s="50" t="n">
        <x:v>999</x:v>
      </x:c>
      <x:c r="M54" s="50" t="n">
        <x:v>999</x:v>
      </x:c>
      <x:c r="N54" s="50" t="n">
        <x:v>999</x:v>
      </x:c>
      <x:c r="O54" s="50" t="n">
        <x:v>999</x:v>
      </x:c>
      <x:c r="P54" s="50" t="n">
        <x:v>999</x:v>
      </x:c>
    </x:row>
    <x:row r="55" ht="42" customHeight="1">
      <x:c r="A55" s="25" t="str">
        <x:v>Optimistic</x:v>
      </x:c>
      <x:c r="B55" s="25" t="str">
        <x:v>Care attachment rate</x:v>
      </x:c>
      <x:c r="C55" s="25" t="str">
        <x:v>fraction</x:v>
      </x:c>
      <x:c r="D55" s="25" t="str">
        <x:v>Unverified planning assumption; replace with observed results.</x:v>
      </x:c>
      <x:c r="E55" s="50" t="n">
        <x:v>0.75</x:v>
      </x:c>
      <x:c r="F55" s="50" t="n">
        <x:v>0.75</x:v>
      </x:c>
      <x:c r="G55" s="50" t="n">
        <x:v>0.75</x:v>
      </x:c>
      <x:c r="H55" s="50" t="n">
        <x:v>0.75</x:v>
      </x:c>
      <x:c r="I55" s="50" t="n">
        <x:v>0.75</x:v>
      </x:c>
      <x:c r="J55" s="50" t="n">
        <x:v>0.75</x:v>
      </x:c>
      <x:c r="K55" s="50" t="n">
        <x:v>0.75</x:v>
      </x:c>
      <x:c r="L55" s="50" t="n">
        <x:v>0.75</x:v>
      </x:c>
      <x:c r="M55" s="50" t="n">
        <x:v>0.75</x:v>
      </x:c>
      <x:c r="N55" s="50" t="n">
        <x:v>0.75</x:v>
      </x:c>
      <x:c r="O55" s="50" t="n">
        <x:v>0.75</x:v>
      </x:c>
      <x:c r="P55" s="50" t="n">
        <x:v>0.75</x:v>
      </x:c>
    </x:row>
    <x:row r="56" ht="42" customHeight="1">
      <x:c r="A56" s="25" t="str">
        <x:v>Optimistic</x:v>
      </x:c>
      <x:c r="B56" s="25" t="str">
        <x:v>Care monthly churn</x:v>
      </x:c>
      <x:c r="C56" s="25" t="str">
        <x:v>fraction</x:v>
      </x:c>
      <x:c r="D56" s="25" t="str">
        <x:v>Unverified planning assumption; replace with observed results.</x:v>
      </x:c>
      <x:c r="E56" s="50" t="n">
        <x:v>0.025</x:v>
      </x:c>
      <x:c r="F56" s="50" t="n">
        <x:v>0.025</x:v>
      </x:c>
      <x:c r="G56" s="50" t="n">
        <x:v>0.025</x:v>
      </x:c>
      <x:c r="H56" s="50" t="n">
        <x:v>0.025</x:v>
      </x:c>
      <x:c r="I56" s="50" t="n">
        <x:v>0.025</x:v>
      </x:c>
      <x:c r="J56" s="50" t="n">
        <x:v>0.025</x:v>
      </x:c>
      <x:c r="K56" s="50" t="n">
        <x:v>0.025</x:v>
      </x:c>
      <x:c r="L56" s="50" t="n">
        <x:v>0.025</x:v>
      </x:c>
      <x:c r="M56" s="50" t="n">
        <x:v>0.025</x:v>
      </x:c>
      <x:c r="N56" s="50" t="n">
        <x:v>0.025</x:v>
      </x:c>
      <x:c r="O56" s="50" t="n">
        <x:v>0.025</x:v>
      </x:c>
      <x:c r="P56" s="50" t="n">
        <x:v>0.025</x:v>
      </x:c>
    </x:row>
    <x:row r="57" ht="42" customHeight="1">
      <x:c r="A57" s="25" t="str">
        <x:v>Optimistic</x:v>
      </x:c>
      <x:c r="B57" s="25" t="str">
        <x:v>Care monthly price</x:v>
      </x:c>
      <x:c r="C57" s="25" t="str">
        <x:v>CAD</x:v>
      </x:c>
      <x:c r="D57" s="25" t="str">
        <x:v>Unverified planning assumption; replace with observed results.</x:v>
      </x:c>
      <x:c r="E57" s="50" t="n">
        <x:v>249</x:v>
      </x:c>
      <x:c r="F57" s="50" t="n">
        <x:v>249</x:v>
      </x:c>
      <x:c r="G57" s="50" t="n">
        <x:v>249</x:v>
      </x:c>
      <x:c r="H57" s="50" t="n">
        <x:v>249</x:v>
      </x:c>
      <x:c r="I57" s="50" t="n">
        <x:v>249</x:v>
      </x:c>
      <x:c r="J57" s="50" t="n">
        <x:v>249</x:v>
      </x:c>
      <x:c r="K57" s="50" t="n">
        <x:v>249</x:v>
      </x:c>
      <x:c r="L57" s="50" t="n">
        <x:v>249</x:v>
      </x:c>
      <x:c r="M57" s="50" t="n">
        <x:v>249</x:v>
      </x:c>
      <x:c r="N57" s="50" t="n">
        <x:v>249</x:v>
      </x:c>
      <x:c r="O57" s="50" t="n">
        <x:v>249</x:v>
      </x:c>
      <x:c r="P57" s="50" t="n">
        <x:v>249</x:v>
      </x:c>
    </x:row>
    <x:row r="58" ht="42" customHeight="1">
      <x:c r="A58" s="25" t="str">
        <x:v>Optimistic</x:v>
      </x:c>
      <x:c r="B58" s="25" t="str">
        <x:v>New monitored sites</x:v>
      </x:c>
      <x:c r="C58" s="25" t="str">
        <x:v>sites</x:v>
      </x:c>
      <x:c r="D58" s="25" t="str">
        <x:v>Unverified planning assumption; replace with observed results.</x:v>
      </x:c>
      <x:c r="E58" s="50" t="n">
        <x:v>0</x:v>
      </x:c>
      <x:c r="F58" s="50" t="n">
        <x:v>3</x:v>
      </x:c>
      <x:c r="G58" s="50" t="n">
        <x:v>5</x:v>
      </x:c>
      <x:c r="H58" s="50" t="n">
        <x:v>8</x:v>
      </x:c>
      <x:c r="I58" s="50" t="n">
        <x:v>10</x:v>
      </x:c>
      <x:c r="J58" s="50" t="n">
        <x:v>12</x:v>
      </x:c>
      <x:c r="K58" s="50" t="n">
        <x:v>15</x:v>
      </x:c>
      <x:c r="L58" s="50" t="n">
        <x:v>18</x:v>
      </x:c>
      <x:c r="M58" s="50" t="n">
        <x:v>20</x:v>
      </x:c>
      <x:c r="N58" s="50" t="n">
        <x:v>25</x:v>
      </x:c>
      <x:c r="O58" s="50" t="n">
        <x:v>25</x:v>
      </x:c>
      <x:c r="P58" s="50" t="n">
        <x:v>30</x:v>
      </x:c>
    </x:row>
    <x:row r="59" ht="42" customHeight="1">
      <x:c r="A59" s="25" t="str">
        <x:v>Optimistic</x:v>
      </x:c>
      <x:c r="B59" s="25" t="str">
        <x:v>Monitor monthly churn</x:v>
      </x:c>
      <x:c r="C59" s="25" t="str">
        <x:v>fraction</x:v>
      </x:c>
      <x:c r="D59" s="25" t="str">
        <x:v>Unverified planning assumption; replace with observed results.</x:v>
      </x:c>
      <x:c r="E59" s="50" t="n">
        <x:v>0.025</x:v>
      </x:c>
      <x:c r="F59" s="50" t="n">
        <x:v>0.025</x:v>
      </x:c>
      <x:c r="G59" s="50" t="n">
        <x:v>0.025</x:v>
      </x:c>
      <x:c r="H59" s="50" t="n">
        <x:v>0.025</x:v>
      </x:c>
      <x:c r="I59" s="50" t="n">
        <x:v>0.025</x:v>
      </x:c>
      <x:c r="J59" s="50" t="n">
        <x:v>0.025</x:v>
      </x:c>
      <x:c r="K59" s="50" t="n">
        <x:v>0.025</x:v>
      </x:c>
      <x:c r="L59" s="50" t="n">
        <x:v>0.025</x:v>
      </x:c>
      <x:c r="M59" s="50" t="n">
        <x:v>0.025</x:v>
      </x:c>
      <x:c r="N59" s="50" t="n">
        <x:v>0.025</x:v>
      </x:c>
      <x:c r="O59" s="50" t="n">
        <x:v>0.025</x:v>
      </x:c>
      <x:c r="P59" s="50" t="n">
        <x:v>0.025</x:v>
      </x:c>
    </x:row>
    <x:row r="60" ht="42" customHeight="1">
      <x:c r="A60" s="25" t="str">
        <x:v>Optimistic</x:v>
      </x:c>
      <x:c r="B60" s="25" t="str">
        <x:v>Monitoring monthly price</x:v>
      </x:c>
      <x:c r="C60" s="25" t="str">
        <x:v>CAD</x:v>
      </x:c>
      <x:c r="D60" s="25" t="str">
        <x:v>Unverified planning assumption; replace with observed results.</x:v>
      </x:c>
      <x:c r="E60" s="50" t="n">
        <x:v>99</x:v>
      </x:c>
      <x:c r="F60" s="50" t="n">
        <x:v>99</x:v>
      </x:c>
      <x:c r="G60" s="50" t="n">
        <x:v>99</x:v>
      </x:c>
      <x:c r="H60" s="50" t="n">
        <x:v>99</x:v>
      </x:c>
      <x:c r="I60" s="50" t="n">
        <x:v>99</x:v>
      </x:c>
      <x:c r="J60" s="50" t="n">
        <x:v>99</x:v>
      </x:c>
      <x:c r="K60" s="50" t="n">
        <x:v>99</x:v>
      </x:c>
      <x:c r="L60" s="50" t="n">
        <x:v>99</x:v>
      </x:c>
      <x:c r="M60" s="50" t="n">
        <x:v>99</x:v>
      </x:c>
      <x:c r="N60" s="50" t="n">
        <x:v>99</x:v>
      </x:c>
      <x:c r="O60" s="50" t="n">
        <x:v>99</x:v>
      </x:c>
      <x:c r="P60" s="50" t="n">
        <x:v>99</x:v>
      </x:c>
    </x:row>
    <x:row r="61" ht="42" customHeight="1">
      <x:c r="A61" s="25" t="str">
        <x:v>Optimistic</x:v>
      </x:c>
      <x:c r="B61" s="25" t="str">
        <x:v>Monitoring setup price</x:v>
      </x:c>
      <x:c r="C61" s="25" t="str">
        <x:v>CAD</x:v>
      </x:c>
      <x:c r="D61" s="25" t="str">
        <x:v>Unverified planning assumption; replace with observed results.</x:v>
      </x:c>
      <x:c r="E61" s="50" t="n">
        <x:v>199</x:v>
      </x:c>
      <x:c r="F61" s="50" t="n">
        <x:v>199</x:v>
      </x:c>
      <x:c r="G61" s="50" t="n">
        <x:v>199</x:v>
      </x:c>
      <x:c r="H61" s="50" t="n">
        <x:v>199</x:v>
      </x:c>
      <x:c r="I61" s="50" t="n">
        <x:v>199</x:v>
      </x:c>
      <x:c r="J61" s="50" t="n">
        <x:v>199</x:v>
      </x:c>
      <x:c r="K61" s="50" t="n">
        <x:v>199</x:v>
      </x:c>
      <x:c r="L61" s="50" t="n">
        <x:v>199</x:v>
      </x:c>
      <x:c r="M61" s="50" t="n">
        <x:v>199</x:v>
      </x:c>
      <x:c r="N61" s="50" t="n">
        <x:v>199</x:v>
      </x:c>
      <x:c r="O61" s="50" t="n">
        <x:v>199</x:v>
      </x:c>
      <x:c r="P61" s="50" t="n">
        <x:v>199</x:v>
      </x:c>
    </x:row>
    <x:row r="62" ht="42" customHeight="1">
      <x:c r="A62" s="25" t="str">
        <x:v>Optimistic</x:v>
      </x:c>
      <x:c r="B62" s="25" t="str">
        <x:v>Toolkit license sales</x:v>
      </x:c>
      <x:c r="C62" s="25" t="str">
        <x:v>licenses</x:v>
      </x:c>
      <x:c r="D62" s="25" t="str">
        <x:v>Unverified planning assumption; replace with observed results.</x:v>
      </x:c>
      <x:c r="E62" s="50" t="n">
        <x:v>3</x:v>
      </x:c>
      <x:c r="F62" s="50" t="n">
        <x:v>10</x:v>
      </x:c>
      <x:c r="G62" s="50" t="n">
        <x:v>25</x:v>
      </x:c>
      <x:c r="H62" s="50" t="n">
        <x:v>40</x:v>
      </x:c>
      <x:c r="I62" s="50" t="n">
        <x:v>60</x:v>
      </x:c>
      <x:c r="J62" s="50" t="n">
        <x:v>90</x:v>
      </x:c>
      <x:c r="K62" s="50" t="n">
        <x:v>120</x:v>
      </x:c>
      <x:c r="L62" s="50" t="n">
        <x:v>150</x:v>
      </x:c>
      <x:c r="M62" s="50" t="n">
        <x:v>180</x:v>
      </x:c>
      <x:c r="N62" s="50" t="n">
        <x:v>220</x:v>
      </x:c>
      <x:c r="O62" s="50" t="n">
        <x:v>260</x:v>
      </x:c>
      <x:c r="P62" s="50" t="n">
        <x:v>300</x:v>
      </x:c>
    </x:row>
    <x:row r="63" ht="42" customHeight="1">
      <x:c r="A63" s="25" t="str">
        <x:v>Optimistic</x:v>
      </x:c>
      <x:c r="B63" s="25" t="str">
        <x:v>Toolkit price</x:v>
      </x:c>
      <x:c r="C63" s="25" t="str">
        <x:v>CAD</x:v>
      </x:c>
      <x:c r="D63" s="25" t="str">
        <x:v>Unverified planning assumption; replace with observed results.</x:v>
      </x:c>
      <x:c r="E63" s="50" t="n">
        <x:v>49</x:v>
      </x:c>
      <x:c r="F63" s="50" t="n">
        <x:v>49</x:v>
      </x:c>
      <x:c r="G63" s="50" t="n">
        <x:v>49</x:v>
      </x:c>
      <x:c r="H63" s="50" t="n">
        <x:v>49</x:v>
      </x:c>
      <x:c r="I63" s="50" t="n">
        <x:v>49</x:v>
      </x:c>
      <x:c r="J63" s="50" t="n">
        <x:v>49</x:v>
      </x:c>
      <x:c r="K63" s="50" t="n">
        <x:v>49</x:v>
      </x:c>
      <x:c r="L63" s="50" t="n">
        <x:v>49</x:v>
      </x:c>
      <x:c r="M63" s="50" t="n">
        <x:v>49</x:v>
      </x:c>
      <x:c r="N63" s="50" t="n">
        <x:v>49</x:v>
      </x:c>
      <x:c r="O63" s="50" t="n">
        <x:v>49</x:v>
      </x:c>
      <x:c r="P63" s="50" t="n">
        <x:v>49</x:v>
      </x:c>
    </x:row>
    <x:row r="64" ht="42" customHeight="1">
      <x:c r="A64" s="25" t="str">
        <x:v>Optimistic</x:v>
      </x:c>
      <x:c r="B64" s="25" t="str">
        <x:v>Fixed tools/hosting/admin</x:v>
      </x:c>
      <x:c r="C64" s="25" t="str">
        <x:v>CAD</x:v>
      </x:c>
      <x:c r="D64" s="25" t="str">
        <x:v>Unverified planning assumption; replace with observed results.</x:v>
      </x:c>
      <x:c r="E64" s="50" t="n">
        <x:v>90</x:v>
      </x:c>
      <x:c r="F64" s="50" t="n">
        <x:v>150</x:v>
      </x:c>
      <x:c r="G64" s="50" t="n">
        <x:v>220</x:v>
      </x:c>
      <x:c r="H64" s="50" t="n">
        <x:v>300</x:v>
      </x:c>
      <x:c r="I64" s="50" t="n">
        <x:v>400</x:v>
      </x:c>
      <x:c r="J64" s="50" t="n">
        <x:v>550</x:v>
      </x:c>
      <x:c r="K64" s="50" t="n">
        <x:v>700</x:v>
      </x:c>
      <x:c r="L64" s="50" t="n">
        <x:v>850</x:v>
      </x:c>
      <x:c r="M64" s="50" t="n">
        <x:v>1000</x:v>
      </x:c>
      <x:c r="N64" s="50" t="n">
        <x:v>1250</x:v>
      </x:c>
      <x:c r="O64" s="50" t="n">
        <x:v>1500</x:v>
      </x:c>
      <x:c r="P64" s="50" t="n">
        <x:v>1800</x:v>
      </x:c>
    </x:row>
    <x:row r="65" ht="42" customHeight="1">
      <x:c r="A65" s="25" t="str">
        <x:v>Optimistic</x:v>
      </x:c>
      <x:c r="B65" s="25" t="str">
        <x:v>Cash acquisition spend</x:v>
      </x:c>
      <x:c r="C65" s="25" t="str">
        <x:v>CAD</x:v>
      </x:c>
      <x:c r="D65" s="25" t="str">
        <x:v>Unverified planning assumption; replace with observed results.</x:v>
      </x:c>
      <x:c r="E65" s="50" t="n">
        <x:v>75</x:v>
      </x:c>
      <x:c r="F65" s="50" t="n">
        <x:v>150</x:v>
      </x:c>
      <x:c r="G65" s="50" t="n">
        <x:v>300</x:v>
      </x:c>
      <x:c r="H65" s="50" t="n">
        <x:v>500</x:v>
      </x:c>
      <x:c r="I65" s="50" t="n">
        <x:v>700</x:v>
      </x:c>
      <x:c r="J65" s="50" t="n">
        <x:v>1000</x:v>
      </x:c>
      <x:c r="K65" s="50" t="n">
        <x:v>1400</x:v>
      </x:c>
      <x:c r="L65" s="50" t="n">
        <x:v>1800</x:v>
      </x:c>
      <x:c r="M65" s="50" t="n">
        <x:v>2200</x:v>
      </x:c>
      <x:c r="N65" s="50" t="n">
        <x:v>2800</x:v>
      </x:c>
      <x:c r="O65" s="50" t="n">
        <x:v>3400</x:v>
      </x:c>
      <x:c r="P65" s="50" t="n">
        <x:v>4200</x:v>
      </x:c>
    </x:row>
    <x:row r="66" ht="42" customHeight="1">
      <x:c r="A66" s="25" t="str">
        <x:v>Optimistic</x:v>
      </x:c>
      <x:c r="B66" s="25" t="str">
        <x:v>Paid contractor time</x:v>
      </x:c>
      <x:c r="C66" s="25" t="str">
        <x:v>hours</x:v>
      </x:c>
      <x:c r="D66" s="25" t="str">
        <x:v>Unverified planning assumption; replace with observed results.</x:v>
      </x:c>
      <x:c r="E66" s="50" t="n">
        <x:v>0</x:v>
      </x:c>
      <x:c r="F66" s="50" t="n">
        <x:v>10</x:v>
      </x:c>
      <x:c r="G66" s="50" t="n">
        <x:v>25</x:v>
      </x:c>
      <x:c r="H66" s="50" t="n">
        <x:v>40</x:v>
      </x:c>
      <x:c r="I66" s="50" t="n">
        <x:v>65</x:v>
      </x:c>
      <x:c r="J66" s="50" t="n">
        <x:v>100</x:v>
      </x:c>
      <x:c r="K66" s="50" t="n">
        <x:v>130</x:v>
      </x:c>
      <x:c r="L66" s="50" t="n">
        <x:v>170</x:v>
      </x:c>
      <x:c r="M66" s="50" t="n">
        <x:v>210</x:v>
      </x:c>
      <x:c r="N66" s="50" t="n">
        <x:v>260</x:v>
      </x:c>
      <x:c r="O66" s="50" t="n">
        <x:v>300</x:v>
      </x:c>
      <x:c r="P66" s="50" t="n">
        <x:v>360</x:v>
      </x:c>
    </x:row>
    <x:row r="67" ht="42" customHeight="1">
      <x:c r="A67" s="25" t="str">
        <x:v>Optimistic</x:v>
      </x:c>
      <x:c r="B67" s="25" t="str">
        <x:v>Owner build/improvement time</x:v>
      </x:c>
      <x:c r="C67" s="25" t="str">
        <x:v>hours</x:v>
      </x:c>
      <x:c r="D67" s="25" t="str">
        <x:v>Unverified planning assumption; replace with observed results.</x:v>
      </x:c>
      <x:c r="E67" s="50" t="n">
        <x:v>30</x:v>
      </x:c>
      <x:c r="F67" s="50" t="n">
        <x:v>20</x:v>
      </x:c>
      <x:c r="G67" s="50" t="n">
        <x:v>15</x:v>
      </x:c>
      <x:c r="H67" s="50" t="n">
        <x:v>15</x:v>
      </x:c>
      <x:c r="I67" s="50" t="n">
        <x:v>15</x:v>
      </x:c>
      <x:c r="J67" s="50" t="n">
        <x:v>15</x:v>
      </x:c>
      <x:c r="K67" s="50" t="n">
        <x:v>15</x:v>
      </x:c>
      <x:c r="L67" s="50" t="n">
        <x:v>15</x:v>
      </x:c>
      <x:c r="M67" s="50" t="n">
        <x:v>15</x:v>
      </x:c>
      <x:c r="N67" s="50" t="n">
        <x:v>15</x:v>
      </x:c>
      <x:c r="O67" s="50" t="n">
        <x:v>15</x:v>
      </x:c>
      <x:c r="P67" s="50" t="n">
        <x:v>15</x:v>
      </x:c>
    </x:row>
    <x:row r="68" ht="42" customHeight="1">
      <x:c r="A68" s="25" t="str">
        <x:v>Optimistic</x:v>
      </x:c>
      <x:c r="B68" s="25" t="str">
        <x:v>Owner sales/partner time</x:v>
      </x:c>
      <x:c r="C68" s="25" t="str">
        <x:v>hours</x:v>
      </x:c>
      <x:c r="D68" s="25" t="str">
        <x:v>Unverified planning assumption; replace with observed results.</x:v>
      </x:c>
      <x:c r="E68" s="50" t="n">
        <x:v>35</x:v>
      </x:c>
      <x:c r="F68" s="50" t="n">
        <x:v>35</x:v>
      </x:c>
      <x:c r="G68" s="50" t="n">
        <x:v>40</x:v>
      </x:c>
      <x:c r="H68" s="50" t="n">
        <x:v>40</x:v>
      </x:c>
      <x:c r="I68" s="50" t="n">
        <x:v>45</x:v>
      </x:c>
      <x:c r="J68" s="50" t="n">
        <x:v>45</x:v>
      </x:c>
      <x:c r="K68" s="50" t="n">
        <x:v>45</x:v>
      </x:c>
      <x:c r="L68" s="50" t="n">
        <x:v>45</x:v>
      </x:c>
      <x:c r="M68" s="50" t="n">
        <x:v>45</x:v>
      </x:c>
      <x:c r="N68" s="50" t="n">
        <x:v>45</x:v>
      </x:c>
      <x:c r="O68" s="50" t="n">
        <x:v>45</x:v>
      </x:c>
      <x:c r="P68" s="50" t="n">
        <x:v>45</x:v>
      </x:c>
    </x:row>
    <x:row r="69" ht="42" customHeight="1">
      <x:c r="A69" s="25" t="str">
        <x:v>Optimistic</x:v>
      </x:c>
      <x:c r="B69" s="25" t="str">
        <x:v>Owner admin/management time</x:v>
      </x:c>
      <x:c r="C69" s="25" t="str">
        <x:v>hours</x:v>
      </x:c>
      <x:c r="D69" s="25" t="str">
        <x:v>Unverified planning assumption; replace with observed results.</x:v>
      </x:c>
      <x:c r="E69" s="50" t="n">
        <x:v>7</x:v>
      </x:c>
      <x:c r="F69" s="50" t="n">
        <x:v>8</x:v>
      </x:c>
      <x:c r="G69" s="50" t="n">
        <x:v>10</x:v>
      </x:c>
      <x:c r="H69" s="50" t="n">
        <x:v>12</x:v>
      </x:c>
      <x:c r="I69" s="50" t="n">
        <x:v>15</x:v>
      </x:c>
      <x:c r="J69" s="50" t="n">
        <x:v>15</x:v>
      </x:c>
      <x:c r="K69" s="50" t="n">
        <x:v>18</x:v>
      </x:c>
      <x:c r="L69" s="50" t="n">
        <x:v>20</x:v>
      </x:c>
      <x:c r="M69" s="50" t="n">
        <x:v>22</x:v>
      </x:c>
      <x:c r="N69" s="50" t="n">
        <x:v>25</x:v>
      </x:c>
      <x:c r="O69" s="50" t="n">
        <x:v>28</x:v>
      </x:c>
      <x:c r="P69" s="50" t="n">
        <x:v>30</x:v>
      </x:c>
    </x:row>
    <x:row r="70" ht="42" customHeight="1">
      <x:c r="A70" s="25" t="str">
        <x:v>Optimistic</x:v>
      </x:c>
      <x:c r="B70" s="25" t="str">
        <x:v>Gross delivery time per setup</x:v>
      </x:c>
      <x:c r="C70" s="25" t="str">
        <x:v>hours</x:v>
      </x:c>
      <x:c r="D70" s="25" t="str">
        <x:v>Unverified planning assumption; replace with observed results.</x:v>
      </x:c>
      <x:c r="E70" s="50" t="n">
        <x:v>5</x:v>
      </x:c>
      <x:c r="F70" s="50" t="n">
        <x:v>5</x:v>
      </x:c>
      <x:c r="G70" s="50" t="n">
        <x:v>5</x:v>
      </x:c>
      <x:c r="H70" s="50" t="n">
        <x:v>5</x:v>
      </x:c>
      <x:c r="I70" s="50" t="n">
        <x:v>5</x:v>
      </x:c>
      <x:c r="J70" s="50" t="n">
        <x:v>5</x:v>
      </x:c>
      <x:c r="K70" s="50" t="n">
        <x:v>5</x:v>
      </x:c>
      <x:c r="L70" s="50" t="n">
        <x:v>5</x:v>
      </x:c>
      <x:c r="M70" s="50" t="n">
        <x:v>5</x:v>
      </x:c>
      <x:c r="N70" s="50" t="n">
        <x:v>5</x:v>
      </x:c>
      <x:c r="O70" s="50" t="n">
        <x:v>5</x:v>
      </x:c>
      <x:c r="P70" s="50" t="n">
        <x:v>5</x:v>
      </x:c>
    </x:row>
    <x:row r="71" ht="42" customHeight="1">
      <x:c r="A71" s="25" t="str">
        <x:v>Optimistic</x:v>
      </x:c>
      <x:c r="B71" s="25" t="str">
        <x:v>Gross care time/client/month</x:v>
      </x:c>
      <x:c r="C71" s="25" t="str">
        <x:v>hours</x:v>
      </x:c>
      <x:c r="D71" s="25" t="str">
        <x:v>Unverified planning assumption; replace with observed results.</x:v>
      </x:c>
      <x:c r="E71" s="50" t="n">
        <x:v>0.5</x:v>
      </x:c>
      <x:c r="F71" s="50" t="n">
        <x:v>0.5</x:v>
      </x:c>
      <x:c r="G71" s="50" t="n">
        <x:v>0.5</x:v>
      </x:c>
      <x:c r="H71" s="50" t="n">
        <x:v>0.5</x:v>
      </x:c>
      <x:c r="I71" s="50" t="n">
        <x:v>0.5</x:v>
      </x:c>
      <x:c r="J71" s="50" t="n">
        <x:v>0.5</x:v>
      </x:c>
      <x:c r="K71" s="50" t="n">
        <x:v>0.5</x:v>
      </x:c>
      <x:c r="L71" s="50" t="n">
        <x:v>0.5</x:v>
      </x:c>
      <x:c r="M71" s="50" t="n">
        <x:v>0.5</x:v>
      </x:c>
      <x:c r="N71" s="50" t="n">
        <x:v>0.5</x:v>
      </x:c>
      <x:c r="O71" s="50" t="n">
        <x:v>0.5</x:v>
      </x:c>
      <x:c r="P71" s="50" t="n">
        <x:v>0.5</x:v>
      </x:c>
    </x:row>
    <x:row r="72" ht="42" customHeight="1">
      <x:c r="A72" s="25" t="str">
        <x:v>Optimistic</x:v>
      </x:c>
      <x:c r="B72" s="25" t="str">
        <x:v>Gross monitor time/site/month</x:v>
      </x:c>
      <x:c r="C72" s="25" t="str">
        <x:v>hours</x:v>
      </x:c>
      <x:c r="D72" s="25" t="str">
        <x:v>Unverified planning assumption; replace with observed results.</x:v>
      </x:c>
      <x:c r="E72" s="50" t="n">
        <x:v>0.25</x:v>
      </x:c>
      <x:c r="F72" s="50" t="n">
        <x:v>0.25</x:v>
      </x:c>
      <x:c r="G72" s="50" t="n">
        <x:v>0.25</x:v>
      </x:c>
      <x:c r="H72" s="50" t="n">
        <x:v>0.25</x:v>
      </x:c>
      <x:c r="I72" s="50" t="n">
        <x:v>0.25</x:v>
      </x:c>
      <x:c r="J72" s="50" t="n">
        <x:v>0.25</x:v>
      </x:c>
      <x:c r="K72" s="50" t="n">
        <x:v>0.25</x:v>
      </x:c>
      <x:c r="L72" s="50" t="n">
        <x:v>0.25</x:v>
      </x:c>
      <x:c r="M72" s="50" t="n">
        <x:v>0.25</x:v>
      </x:c>
      <x:c r="N72" s="50" t="n">
        <x:v>0.25</x:v>
      </x:c>
      <x:c r="O72" s="50" t="n">
        <x:v>0.25</x:v>
      </x:c>
      <x:c r="P72" s="50" t="n">
        <x:v>0.25</x:v>
      </x:c>
    </x:row>
    <x:row r="73" ht="42" customHeight="1">
      <x:c r="A73" s="25" t="str">
        <x:v>Optimistic</x:v>
      </x:c>
      <x:c r="B73" s="25" t="str">
        <x:v>Service revenue marketplace share</x:v>
      </x:c>
      <x:c r="C73" s="25" t="str">
        <x:v>fraction</x:v>
      </x:c>
      <x:c r="D73" s="25" t="str">
        <x:v>Unverified planning assumption; replace with observed results.</x:v>
      </x:c>
      <x:c r="E73" s="50" t="n">
        <x:v>0.3</x:v>
      </x:c>
      <x:c r="F73" s="50" t="n">
        <x:v>0.3</x:v>
      </x:c>
      <x:c r="G73" s="50" t="n">
        <x:v>0.3</x:v>
      </x:c>
      <x:c r="H73" s="50" t="n">
        <x:v>0.3</x:v>
      </x:c>
      <x:c r="I73" s="50" t="n">
        <x:v>0.3</x:v>
      </x:c>
      <x:c r="J73" s="50" t="n">
        <x:v>0.3</x:v>
      </x:c>
      <x:c r="K73" s="50" t="n">
        <x:v>0.3</x:v>
      </x:c>
      <x:c r="L73" s="50" t="n">
        <x:v>0.3</x:v>
      </x:c>
      <x:c r="M73" s="50" t="n">
        <x:v>0.3</x:v>
      </x:c>
      <x:c r="N73" s="50" t="n">
        <x:v>0.3</x:v>
      </x:c>
      <x:c r="O73" s="50" t="n">
        <x:v>0.3</x:v>
      </x:c>
      <x:c r="P73" s="50" t="n">
        <x:v>0.3</x:v>
      </x:c>
    </x:row>
    <x:row r="74" ht="42" customHeight="1">
      <x:c r="A74" s="25" t="str">
        <x:v>Optimistic</x:v>
      </x:c>
      <x:c r="B74" s="25" t="str">
        <x:v>Qualified opportunity to setup sale</x:v>
      </x:c>
      <x:c r="C74" s="25" t="str">
        <x:v>fraction</x:v>
      </x:c>
      <x:c r="D74" s="25" t="str">
        <x:v>Unverified planning assumption; replace with observed results.</x:v>
      </x:c>
      <x:c r="E74" s="50" t="n">
        <x:v>0.075</x:v>
      </x:c>
      <x:c r="F74" s="50" t="n">
        <x:v>0.075</x:v>
      </x:c>
      <x:c r="G74" s="50" t="n">
        <x:v>0.075</x:v>
      </x:c>
      <x:c r="H74" s="50" t="n">
        <x:v>0.075</x:v>
      </x:c>
      <x:c r="I74" s="50" t="n">
        <x:v>0.075</x:v>
      </x:c>
      <x:c r="J74" s="50" t="n">
        <x:v>0.075</x:v>
      </x:c>
      <x:c r="K74" s="50" t="n">
        <x:v>0.075</x:v>
      </x:c>
      <x:c r="L74" s="50" t="n">
        <x:v>0.075</x:v>
      </x:c>
      <x:c r="M74" s="50" t="n">
        <x:v>0.075</x:v>
      </x:c>
      <x:c r="N74" s="50" t="n">
        <x:v>0.075</x:v>
      </x:c>
      <x:c r="O74" s="50" t="n">
        <x:v>0.075</x:v>
      </x:c>
      <x:c r="P74" s="50" t="n">
        <x:v>0.075</x:v>
      </x:c>
    </x:row>
    <x:row r="75" ht="42" customHeight="1">
      <x:c r="A75" s="25" t="str">
        <x:v>Optimistic</x:v>
      </x:c>
      <x:c r="B75" s="25" t="str">
        <x:v>Qualified visit to license sale</x:v>
      </x:c>
      <x:c r="C75" s="25" t="str">
        <x:v>fraction</x:v>
      </x:c>
      <x:c r="D75" s="25" t="str">
        <x:v>Unverified planning assumption; replace with observed results.</x:v>
      </x:c>
      <x:c r="E75" s="50" t="n">
        <x:v>0.03</x:v>
      </x:c>
      <x:c r="F75" s="50" t="n">
        <x:v>0.03</x:v>
      </x:c>
      <x:c r="G75" s="50" t="n">
        <x:v>0.03</x:v>
      </x:c>
      <x:c r="H75" s="50" t="n">
        <x:v>0.03</x:v>
      </x:c>
      <x:c r="I75" s="50" t="n">
        <x:v>0.03</x:v>
      </x:c>
      <x:c r="J75" s="50" t="n">
        <x:v>0.03</x:v>
      </x:c>
      <x:c r="K75" s="50" t="n">
        <x:v>0.03</x:v>
      </x:c>
      <x:c r="L75" s="50" t="n">
        <x:v>0.03</x:v>
      </x:c>
      <x:c r="M75" s="50" t="n">
        <x:v>0.03</x:v>
      </x:c>
      <x:c r="N75" s="50" t="n">
        <x:v>0.03</x:v>
      </x:c>
      <x:c r="O75" s="50" t="n">
        <x:v>0.03</x:v>
      </x:c>
      <x:c r="P75" s="50" t="n">
        <x:v>0.03</x:v>
      </x:c>
    </x:row>
    <x:row r="76" ht="42" customHeight="1">
      <x:c r="A76" s="25" t="str">
        <x:v>Optimistic</x:v>
      </x:c>
      <x:c r="B76" s="25" t="str">
        <x:v>One-time initial setup spend</x:v>
      </x:c>
      <x:c r="C76" s="25" t="str">
        <x:v>CAD</x:v>
      </x:c>
      <x:c r="D76" s="25" t="str">
        <x:v>Unverified planning assumption; replace with observed results.</x:v>
      </x:c>
      <x:c r="E76" s="50" t="n">
        <x:v>150</x:v>
      </x:c>
      <x:c r="F76" s="50" t="n">
        <x:v>150</x:v>
      </x:c>
      <x:c r="G76" s="50" t="n">
        <x:v>150</x:v>
      </x:c>
      <x:c r="H76" s="50" t="n">
        <x:v>150</x:v>
      </x:c>
      <x:c r="I76" s="50" t="n">
        <x:v>150</x:v>
      </x:c>
      <x:c r="J76" s="50" t="n">
        <x:v>150</x:v>
      </x:c>
      <x:c r="K76" s="50" t="n">
        <x:v>150</x:v>
      </x:c>
      <x:c r="L76" s="50" t="n">
        <x:v>150</x:v>
      </x:c>
      <x:c r="M76" s="50" t="n">
        <x:v>150</x:v>
      </x:c>
      <x:c r="N76" s="50" t="n">
        <x:v>150</x:v>
      </x:c>
      <x:c r="O76" s="50" t="n">
        <x:v>150</x:v>
      </x:c>
      <x:c r="P76" s="50" t="n">
        <x:v>150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f42bc017bb994fa1"/>
  <x:tableParts count="1">
    <x:tablePart xmlns:r="http://schemas.openxmlformats.org/officeDocument/2006/relationships" r:id="Rae8a8ef0a99846fe"/>
  </x:tableParts>
</x:worksheet>
</file>

<file path=xl/worksheets/sheet7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2" customHeight="1">
      <x:c r="A1" s="3" t="str">
        <x:v>PESSIMISTIC — 12-MONTH OPERATING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CAD • earned revenue, not bank settlements • no income tax/owner wage deducted from operating profit • scenario is conditional.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54" t="str">
        <x:v>Metric / CAD unless stated</x:v>
      </x:c>
      <x:c r="B4" s="54" t="str">
        <x:v>Month 1</x:v>
      </x:c>
      <x:c r="C4" s="54" t="str">
        <x:v>Month 2</x:v>
      </x:c>
      <x:c r="D4" s="54" t="str">
        <x:v>Month 3</x:v>
      </x:c>
      <x:c r="E4" s="54" t="str">
        <x:v>Month 4</x:v>
      </x:c>
      <x:c r="F4" s="54" t="str">
        <x:v>Month 5</x:v>
      </x:c>
      <x:c r="G4" s="54" t="str">
        <x:v>Month 6</x:v>
      </x:c>
      <x:c r="H4" s="54" t="str">
        <x:v>Month 7</x:v>
      </x:c>
      <x:c r="I4" s="54" t="str">
        <x:v>Month 8</x:v>
      </x:c>
      <x:c r="J4" s="54" t="str">
        <x:v>Month 9</x:v>
      </x:c>
      <x:c r="K4" s="54" t="str">
        <x:v>Month 10</x:v>
      </x:c>
      <x:c r="L4" s="54" t="str">
        <x:v>Month 11</x:v>
      </x:c>
      <x:c r="M4" s="54" t="str">
        <x:v>Month 12</x:v>
      </x:c>
    </x:row>
    <x:row r="5" ht="22" customHeight="1">
      <x:c r="A5" s="21" t="str">
        <x:v>New reporting setups delivered</x:v>
      </x:c>
      <x:c r="B5" s="81" t="n">
        <x:f>'Scenario Inputs'!E5</x:f>
        <x:v>0</x:v>
      </x:c>
      <x:c r="C5" s="81" t="n">
        <x:f>'Scenario Inputs'!F5</x:f>
        <x:v>1</x:v>
      </x:c>
      <x:c r="D5" s="81" t="n">
        <x:f>'Scenario Inputs'!G5</x:f>
        <x:v>0</x:v>
      </x:c>
      <x:c r="E5" s="81" t="n">
        <x:f>'Scenario Inputs'!H5</x:f>
        <x:v>0</x:v>
      </x:c>
      <x:c r="F5" s="81" t="n">
        <x:f>'Scenario Inputs'!I5</x:f>
        <x:v>0</x:v>
      </x:c>
      <x:c r="G5" s="81" t="n">
        <x:f>'Scenario Inputs'!J5</x:f>
        <x:v>0</x:v>
      </x:c>
      <x:c r="H5" s="81" t="n">
        <x:f>'Scenario Inputs'!K5</x:f>
        <x:v>0</x:v>
      </x:c>
      <x:c r="I5" s="81" t="n">
        <x:f>'Scenario Inputs'!L5</x:f>
        <x:v>0</x:v>
      </x:c>
      <x:c r="J5" s="81" t="n">
        <x:f>'Scenario Inputs'!M5</x:f>
        <x:v>0</x:v>
      </x:c>
      <x:c r="K5" s="81" t="n">
        <x:f>'Scenario Inputs'!N5</x:f>
        <x:v>0</x:v>
      </x:c>
      <x:c r="L5" s="81" t="n">
        <x:f>'Scenario Inputs'!O5</x:f>
        <x:v>0</x:v>
      </x:c>
      <x:c r="M5" s="81" t="n">
        <x:f>'Scenario Inputs'!P5</x:f>
        <x:v>0</x:v>
      </x:c>
    </x:row>
    <x:row r="6" ht="22" customHeight="1">
      <x:c r="A6" s="21" t="str">
        <x:v>Average setup price (CAD)</x:v>
      </x:c>
      <x:c r="B6" s="83" t="n">
        <x:f>'Scenario Inputs'!E6</x:f>
        <x:v>299</x:v>
      </x:c>
      <x:c r="C6" s="83" t="n">
        <x:f>'Scenario Inputs'!F6</x:f>
        <x:v>299</x:v>
      </x:c>
      <x:c r="D6" s="83" t="n">
        <x:f>'Scenario Inputs'!G6</x:f>
        <x:v>299</x:v>
      </x:c>
      <x:c r="E6" s="83" t="n">
        <x:f>'Scenario Inputs'!H6</x:f>
        <x:v>299</x:v>
      </x:c>
      <x:c r="F6" s="83" t="n">
        <x:f>'Scenario Inputs'!I6</x:f>
        <x:v>299</x:v>
      </x:c>
      <x:c r="G6" s="83" t="n">
        <x:f>'Scenario Inputs'!J6</x:f>
        <x:v>299</x:v>
      </x:c>
      <x:c r="H6" s="83" t="n">
        <x:f>'Scenario Inputs'!K6</x:f>
        <x:v>299</x:v>
      </x:c>
      <x:c r="I6" s="83" t="n">
        <x:f>'Scenario Inputs'!L6</x:f>
        <x:v>299</x:v>
      </x:c>
      <x:c r="J6" s="83" t="n">
        <x:f>'Scenario Inputs'!M6</x:f>
        <x:v>299</x:v>
      </x:c>
      <x:c r="K6" s="83" t="n">
        <x:f>'Scenario Inputs'!N6</x:f>
        <x:v>299</x:v>
      </x:c>
      <x:c r="L6" s="83" t="n">
        <x:f>'Scenario Inputs'!O6</x:f>
        <x:v>299</x:v>
      </x:c>
      <x:c r="M6" s="83" t="n">
        <x:f>'Scenario Inputs'!P6</x:f>
        <x:v>299</x:v>
      </x:c>
    </x:row>
    <x:row r="7" ht="22" customHeight="1">
      <x:c r="A7" s="21" t="str">
        <x:v>Care clients — opening</x:v>
      </x:c>
      <x:c r="B7" s="57" t="n">
        <x:f>0</x:f>
        <x:v>0</x:v>
      </x:c>
      <x:c r="C7" s="57" t="n">
        <x:f>B10</x:f>
        <x:v>0</x:v>
      </x:c>
      <x:c r="D7" s="57" t="n">
        <x:f>C10</x:f>
        <x:v>0</x:v>
      </x:c>
      <x:c r="E7" s="57" t="n">
        <x:f>D10</x:f>
        <x:v>0</x:v>
      </x:c>
      <x:c r="F7" s="57" t="n">
        <x:f>E10</x:f>
        <x:v>0</x:v>
      </x:c>
      <x:c r="G7" s="57" t="n">
        <x:f>F10</x:f>
        <x:v>0</x:v>
      </x:c>
      <x:c r="H7" s="57" t="n">
        <x:f>G10</x:f>
        <x:v>0</x:v>
      </x:c>
      <x:c r="I7" s="57" t="n">
        <x:f>H10</x:f>
        <x:v>0</x:v>
      </x:c>
      <x:c r="J7" s="57" t="n">
        <x:f>I10</x:f>
        <x:v>0</x:v>
      </x:c>
      <x:c r="K7" s="57" t="n">
        <x:f>J10</x:f>
        <x:v>0</x:v>
      </x:c>
      <x:c r="L7" s="57" t="n">
        <x:f>K10</x:f>
        <x:v>0</x:v>
      </x:c>
      <x:c r="M7" s="57" t="n">
        <x:f>L10</x:f>
        <x:v>0</x:v>
      </x:c>
    </x:row>
    <x:row r="8" ht="22" customHeight="1">
      <x:c r="A8" s="21" t="str">
        <x:v>Care clients lost to churn</x:v>
      </x:c>
      <x:c r="B8" s="57" t="n">
        <x:f>B7*'Scenario Inputs'!E8</x:f>
        <x:v>0</x:v>
      </x:c>
      <x:c r="C8" s="57" t="n">
        <x:f>C7*'Scenario Inputs'!F8</x:f>
        <x:v>0</x:v>
      </x:c>
      <x:c r="D8" s="57" t="n">
        <x:f>D7*'Scenario Inputs'!G8</x:f>
        <x:v>0</x:v>
      </x:c>
      <x:c r="E8" s="57" t="n">
        <x:f>E7*'Scenario Inputs'!H8</x:f>
        <x:v>0</x:v>
      </x:c>
      <x:c r="F8" s="57" t="n">
        <x:f>F7*'Scenario Inputs'!I8</x:f>
        <x:v>0</x:v>
      </x:c>
      <x:c r="G8" s="57" t="n">
        <x:f>G7*'Scenario Inputs'!J8</x:f>
        <x:v>0</x:v>
      </x:c>
      <x:c r="H8" s="57" t="n">
        <x:f>H7*'Scenario Inputs'!K8</x:f>
        <x:v>0</x:v>
      </x:c>
      <x:c r="I8" s="57" t="n">
        <x:f>I7*'Scenario Inputs'!L8</x:f>
        <x:v>0</x:v>
      </x:c>
      <x:c r="J8" s="57" t="n">
        <x:f>J7*'Scenario Inputs'!M8</x:f>
        <x:v>0</x:v>
      </x:c>
      <x:c r="K8" s="57" t="n">
        <x:f>K7*'Scenario Inputs'!N8</x:f>
        <x:v>0</x:v>
      </x:c>
      <x:c r="L8" s="57" t="n">
        <x:f>L7*'Scenario Inputs'!O8</x:f>
        <x:v>0</x:v>
      </x:c>
      <x:c r="M8" s="57" t="n">
        <x:f>M7*'Scenario Inputs'!P8</x:f>
        <x:v>0</x:v>
      </x:c>
    </x:row>
    <x:row r="9" ht="22" customHeight="1">
      <x:c r="A9" s="21" t="str">
        <x:v>New care clients</x:v>
      </x:c>
      <x:c r="B9" s="57" t="n">
        <x:f>B5*'Scenario Inputs'!E7</x:f>
        <x:v>0</x:v>
      </x:c>
      <x:c r="C9" s="57" t="n">
        <x:f>C5*'Scenario Inputs'!F7</x:f>
        <x:v>0</x:v>
      </x:c>
      <x:c r="D9" s="57" t="n">
        <x:f>D5*'Scenario Inputs'!G7</x:f>
        <x:v>0</x:v>
      </x:c>
      <x:c r="E9" s="57" t="n">
        <x:f>E5*'Scenario Inputs'!H7</x:f>
        <x:v>0</x:v>
      </x:c>
      <x:c r="F9" s="57" t="n">
        <x:f>F5*'Scenario Inputs'!I7</x:f>
        <x:v>0</x:v>
      </x:c>
      <x:c r="G9" s="57" t="n">
        <x:f>G5*'Scenario Inputs'!J7</x:f>
        <x:v>0</x:v>
      </x:c>
      <x:c r="H9" s="57" t="n">
        <x:f>H5*'Scenario Inputs'!K7</x:f>
        <x:v>0</x:v>
      </x:c>
      <x:c r="I9" s="57" t="n">
        <x:f>I5*'Scenario Inputs'!L7</x:f>
        <x:v>0</x:v>
      </x:c>
      <x:c r="J9" s="57" t="n">
        <x:f>J5*'Scenario Inputs'!M7</x:f>
        <x:v>0</x:v>
      </x:c>
      <x:c r="K9" s="57" t="n">
        <x:f>K5*'Scenario Inputs'!N7</x:f>
        <x:v>0</x:v>
      </x:c>
      <x:c r="L9" s="57" t="n">
        <x:f>L5*'Scenario Inputs'!O7</x:f>
        <x:v>0</x:v>
      </x:c>
      <x:c r="M9" s="57" t="n">
        <x:f>M5*'Scenario Inputs'!P7</x:f>
        <x:v>0</x:v>
      </x:c>
    </x:row>
    <x:row r="10" ht="22" customHeight="1">
      <x:c r="A10" s="21" t="str">
        <x:v>Care clients — closing</x:v>
      </x:c>
      <x:c r="B10" s="57" t="n">
        <x:f>B7-B8+B9</x:f>
        <x:v>0</x:v>
      </x:c>
      <x:c r="C10" s="57" t="n">
        <x:f>C7-C8+C9</x:f>
        <x:v>0</x:v>
      </x:c>
      <x:c r="D10" s="57" t="n">
        <x:f>D7-D8+D9</x:f>
        <x:v>0</x:v>
      </x:c>
      <x:c r="E10" s="57" t="n">
        <x:f>E7-E8+E9</x:f>
        <x:v>0</x:v>
      </x:c>
      <x:c r="F10" s="57" t="n">
        <x:f>F7-F8+F9</x:f>
        <x:v>0</x:v>
      </x:c>
      <x:c r="G10" s="57" t="n">
        <x:f>G7-G8+G9</x:f>
        <x:v>0</x:v>
      </x:c>
      <x:c r="H10" s="57" t="n">
        <x:f>H7-H8+H9</x:f>
        <x:v>0</x:v>
      </x:c>
      <x:c r="I10" s="57" t="n">
        <x:f>I7-I8+I9</x:f>
        <x:v>0</x:v>
      </x:c>
      <x:c r="J10" s="57" t="n">
        <x:f>J7-J8+J9</x:f>
        <x:v>0</x:v>
      </x:c>
      <x:c r="K10" s="57" t="n">
        <x:f>K7-K8+K9</x:f>
        <x:v>0</x:v>
      </x:c>
      <x:c r="L10" s="57" t="n">
        <x:f>L7-L8+L9</x:f>
        <x:v>0</x:v>
      </x:c>
      <x:c r="M10" s="57" t="n">
        <x:f>M7-M8+M9</x:f>
        <x:v>0</x:v>
      </x:c>
    </x:row>
    <x:row r="11" ht="22" customHeight="1">
      <x:c r="A11" s="21" t="str">
        <x:v>Care clients — average billed</x:v>
      </x:c>
      <x:c r="B11" s="57" t="n">
        <x:f>(B7+B10)/2</x:f>
        <x:v>0</x:v>
      </x:c>
      <x:c r="C11" s="57" t="n">
        <x:f>(C7+C10)/2</x:f>
        <x:v>0</x:v>
      </x:c>
      <x:c r="D11" s="57" t="n">
        <x:f>(D7+D10)/2</x:f>
        <x:v>0</x:v>
      </x:c>
      <x:c r="E11" s="57" t="n">
        <x:f>(E7+E10)/2</x:f>
        <x:v>0</x:v>
      </x:c>
      <x:c r="F11" s="57" t="n">
        <x:f>(F7+F10)/2</x:f>
        <x:v>0</x:v>
      </x:c>
      <x:c r="G11" s="57" t="n">
        <x:f>(G7+G10)/2</x:f>
        <x:v>0</x:v>
      </x:c>
      <x:c r="H11" s="57" t="n">
        <x:f>(H7+H10)/2</x:f>
        <x:v>0</x:v>
      </x:c>
      <x:c r="I11" s="57" t="n">
        <x:f>(I7+I10)/2</x:f>
        <x:v>0</x:v>
      </x:c>
      <x:c r="J11" s="57" t="n">
        <x:f>(J7+J10)/2</x:f>
        <x:v>0</x:v>
      </x:c>
      <x:c r="K11" s="57" t="n">
        <x:f>(K7+K10)/2</x:f>
        <x:v>0</x:v>
      </x:c>
      <x:c r="L11" s="57" t="n">
        <x:f>(L7+L10)/2</x:f>
        <x:v>0</x:v>
      </x:c>
      <x:c r="M11" s="57" t="n">
        <x:f>(M7+M10)/2</x:f>
        <x:v>0</x:v>
      </x:c>
    </x:row>
    <x:row r="12" ht="22" customHeight="1">
      <x:c r="A12" s="21" t="str">
        <x:v>Monitored sites — opening</x:v>
      </x:c>
      <x:c r="B12" s="57" t="n">
        <x:f>0</x:f>
        <x:v>0</x:v>
      </x:c>
      <x:c r="C12" s="57" t="n">
        <x:f>B15</x:f>
        <x:v>0</x:v>
      </x:c>
      <x:c r="D12" s="57" t="n">
        <x:f>C15</x:f>
        <x:v>0</x:v>
      </x:c>
      <x:c r="E12" s="57" t="n">
        <x:f>D15</x:f>
        <x:v>0</x:v>
      </x:c>
      <x:c r="F12" s="57" t="n">
        <x:f>E15</x:f>
        <x:v>0</x:v>
      </x:c>
      <x:c r="G12" s="57" t="n">
        <x:f>F15</x:f>
        <x:v>0</x:v>
      </x:c>
      <x:c r="H12" s="57" t="n">
        <x:f>G15</x:f>
        <x:v>0</x:v>
      </x:c>
      <x:c r="I12" s="57" t="n">
        <x:f>H15</x:f>
        <x:v>0</x:v>
      </x:c>
      <x:c r="J12" s="57" t="n">
        <x:f>I15</x:f>
        <x:v>0</x:v>
      </x:c>
      <x:c r="K12" s="57" t="n">
        <x:f>J15</x:f>
        <x:v>0</x:v>
      </x:c>
      <x:c r="L12" s="57" t="n">
        <x:f>K15</x:f>
        <x:v>0</x:v>
      </x:c>
      <x:c r="M12" s="57" t="n">
        <x:f>L15</x:f>
        <x:v>0</x:v>
      </x:c>
    </x:row>
    <x:row r="13" ht="22" customHeight="1">
      <x:c r="A13" s="21" t="str">
        <x:v>Sites lost to churn</x:v>
      </x:c>
      <x:c r="B13" s="57" t="n">
        <x:f>B12*'Scenario Inputs'!E11</x:f>
        <x:v>0</x:v>
      </x:c>
      <x:c r="C13" s="57" t="n">
        <x:f>C12*'Scenario Inputs'!F11</x:f>
        <x:v>0</x:v>
      </x:c>
      <x:c r="D13" s="57" t="n">
        <x:f>D12*'Scenario Inputs'!G11</x:f>
        <x:v>0</x:v>
      </x:c>
      <x:c r="E13" s="57" t="n">
        <x:f>E12*'Scenario Inputs'!H11</x:f>
        <x:v>0</x:v>
      </x:c>
      <x:c r="F13" s="57" t="n">
        <x:f>F12*'Scenario Inputs'!I11</x:f>
        <x:v>0</x:v>
      </x:c>
      <x:c r="G13" s="57" t="n">
        <x:f>G12*'Scenario Inputs'!J11</x:f>
        <x:v>0</x:v>
      </x:c>
      <x:c r="H13" s="57" t="n">
        <x:f>H12*'Scenario Inputs'!K11</x:f>
        <x:v>0</x:v>
      </x:c>
      <x:c r="I13" s="57" t="n">
        <x:f>I12*'Scenario Inputs'!L11</x:f>
        <x:v>0</x:v>
      </x:c>
      <x:c r="J13" s="57" t="n">
        <x:f>J12*'Scenario Inputs'!M11</x:f>
        <x:v>0</x:v>
      </x:c>
      <x:c r="K13" s="57" t="n">
        <x:f>K12*'Scenario Inputs'!N11</x:f>
        <x:v>0</x:v>
      </x:c>
      <x:c r="L13" s="57" t="n">
        <x:f>L12*'Scenario Inputs'!O11</x:f>
        <x:v>0</x:v>
      </x:c>
      <x:c r="M13" s="57" t="n">
        <x:f>M12*'Scenario Inputs'!P11</x:f>
        <x:v>0</x:v>
      </x:c>
    </x:row>
    <x:row r="14" ht="22" customHeight="1">
      <x:c r="A14" s="21" t="str">
        <x:v>New monitored sites</x:v>
      </x:c>
      <x:c r="B14" s="81" t="n">
        <x:f>'Scenario Inputs'!E10</x:f>
        <x:v>0</x:v>
      </x:c>
      <x:c r="C14" s="81" t="n">
        <x:f>'Scenario Inputs'!F10</x:f>
        <x:v>0</x:v>
      </x:c>
      <x:c r="D14" s="81" t="n">
        <x:f>'Scenario Inputs'!G10</x:f>
        <x:v>0</x:v>
      </x:c>
      <x:c r="E14" s="81" t="n">
        <x:f>'Scenario Inputs'!H10</x:f>
        <x:v>0</x:v>
      </x:c>
      <x:c r="F14" s="81" t="n">
        <x:f>'Scenario Inputs'!I10</x:f>
        <x:v>0</x:v>
      </x:c>
      <x:c r="G14" s="81" t="n">
        <x:f>'Scenario Inputs'!J10</x:f>
        <x:v>0</x:v>
      </x:c>
      <x:c r="H14" s="81" t="n">
        <x:f>'Scenario Inputs'!K10</x:f>
        <x:v>0</x:v>
      </x:c>
      <x:c r="I14" s="81" t="n">
        <x:f>'Scenario Inputs'!L10</x:f>
        <x:v>0</x:v>
      </x:c>
      <x:c r="J14" s="81" t="n">
        <x:f>'Scenario Inputs'!M10</x:f>
        <x:v>0</x:v>
      </x:c>
      <x:c r="K14" s="81" t="n">
        <x:f>'Scenario Inputs'!N10</x:f>
        <x:v>0</x:v>
      </x:c>
      <x:c r="L14" s="81" t="n">
        <x:f>'Scenario Inputs'!O10</x:f>
        <x:v>0</x:v>
      </x:c>
      <x:c r="M14" s="81" t="n">
        <x:f>'Scenario Inputs'!P10</x:f>
        <x:v>0</x:v>
      </x:c>
    </x:row>
    <x:row r="15" ht="22" customHeight="1">
      <x:c r="A15" s="21" t="str">
        <x:v>Monitored sites — closing</x:v>
      </x:c>
      <x:c r="B15" s="57" t="n">
        <x:f>B12-B13+B14</x:f>
        <x:v>0</x:v>
      </x:c>
      <x:c r="C15" s="57" t="n">
        <x:f>C12-C13+C14</x:f>
        <x:v>0</x:v>
      </x:c>
      <x:c r="D15" s="57" t="n">
        <x:f>D12-D13+D14</x:f>
        <x:v>0</x:v>
      </x:c>
      <x:c r="E15" s="57" t="n">
        <x:f>E12-E13+E14</x:f>
        <x:v>0</x:v>
      </x:c>
      <x:c r="F15" s="57" t="n">
        <x:f>F12-F13+F14</x:f>
        <x:v>0</x:v>
      </x:c>
      <x:c r="G15" s="57" t="n">
        <x:f>G12-G13+G14</x:f>
        <x:v>0</x:v>
      </x:c>
      <x:c r="H15" s="57" t="n">
        <x:f>H12-H13+H14</x:f>
        <x:v>0</x:v>
      </x:c>
      <x:c r="I15" s="57" t="n">
        <x:f>I12-I13+I14</x:f>
        <x:v>0</x:v>
      </x:c>
      <x:c r="J15" s="57" t="n">
        <x:f>J12-J13+J14</x:f>
        <x:v>0</x:v>
      </x:c>
      <x:c r="K15" s="57" t="n">
        <x:f>K12-K13+K14</x:f>
        <x:v>0</x:v>
      </x:c>
      <x:c r="L15" s="57" t="n">
        <x:f>L12-L13+L14</x:f>
        <x:v>0</x:v>
      </x:c>
      <x:c r="M15" s="57" t="n">
        <x:f>M12-M13+M14</x:f>
        <x:v>0</x:v>
      </x:c>
    </x:row>
    <x:row r="16" ht="22" customHeight="1">
      <x:c r="A16" s="21" t="str">
        <x:v>Sites — average billed</x:v>
      </x:c>
      <x:c r="B16" s="57" t="n">
        <x:f>(B12+B15)/2</x:f>
        <x:v>0</x:v>
      </x:c>
      <x:c r="C16" s="57" t="n">
        <x:f>(C12+C15)/2</x:f>
        <x:v>0</x:v>
      </x:c>
      <x:c r="D16" s="57" t="n">
        <x:f>(D12+D15)/2</x:f>
        <x:v>0</x:v>
      </x:c>
      <x:c r="E16" s="57" t="n">
        <x:f>(E12+E15)/2</x:f>
        <x:v>0</x:v>
      </x:c>
      <x:c r="F16" s="57" t="n">
        <x:f>(F12+F15)/2</x:f>
        <x:v>0</x:v>
      </x:c>
      <x:c r="G16" s="57" t="n">
        <x:f>(G12+G15)/2</x:f>
        <x:v>0</x:v>
      </x:c>
      <x:c r="H16" s="57" t="n">
        <x:f>(H12+H15)/2</x:f>
        <x:v>0</x:v>
      </x:c>
      <x:c r="I16" s="57" t="n">
        <x:f>(I12+I15)/2</x:f>
        <x:v>0</x:v>
      </x:c>
      <x:c r="J16" s="57" t="n">
        <x:f>(J12+J15)/2</x:f>
        <x:v>0</x:v>
      </x:c>
      <x:c r="K16" s="57" t="n">
        <x:f>(K12+K15)/2</x:f>
        <x:v>0</x:v>
      </x:c>
      <x:c r="L16" s="57" t="n">
        <x:f>(L12+L15)/2</x:f>
        <x:v>0</x:v>
      </x:c>
      <x:c r="M16" s="57" t="n">
        <x:f>(M12+M15)/2</x:f>
        <x:v>0</x:v>
      </x:c>
    </x:row>
    <x:row r="17" ht="22" customHeight="1">
      <x:c r="A17" s="21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 ht="22" customHeight="1">
      <x:c r="A18" s="21" t="str">
        <x:v>Reporting setup revenue</x:v>
      </x:c>
      <x:c r="B18" s="59" t="n">
        <x:f>B5*B6</x:f>
        <x:v>0</x:v>
      </x:c>
      <x:c r="C18" s="59" t="n">
        <x:f>C5*C6</x:f>
        <x:v>299</x:v>
      </x:c>
      <x:c r="D18" s="59" t="n">
        <x:f>D5*D6</x:f>
        <x:v>0</x:v>
      </x:c>
      <x:c r="E18" s="59" t="n">
        <x:f>E5*E6</x:f>
        <x:v>0</x:v>
      </x:c>
      <x:c r="F18" s="59" t="n">
        <x:f>F5*F6</x:f>
        <x:v>0</x:v>
      </x:c>
      <x:c r="G18" s="59" t="n">
        <x:f>G5*G6</x:f>
        <x:v>0</x:v>
      </x:c>
      <x:c r="H18" s="59" t="n">
        <x:f>H5*H6</x:f>
        <x:v>0</x:v>
      </x:c>
      <x:c r="I18" s="59" t="n">
        <x:f>I5*I6</x:f>
        <x:v>0</x:v>
      </x:c>
      <x:c r="J18" s="59" t="n">
        <x:f>J5*J6</x:f>
        <x:v>0</x:v>
      </x:c>
      <x:c r="K18" s="59" t="n">
        <x:f>K5*K6</x:f>
        <x:v>0</x:v>
      </x:c>
      <x:c r="L18" s="59" t="n">
        <x:f>L5*L6</x:f>
        <x:v>0</x:v>
      </x:c>
      <x:c r="M18" s="59" t="n">
        <x:f>M5*M6</x:f>
        <x:v>0</x:v>
      </x:c>
    </x:row>
    <x:row r="19" ht="22" customHeight="1">
      <x:c r="A19" s="21" t="str">
        <x:v>Care subscription revenue</x:v>
      </x:c>
      <x:c r="B19" s="59" t="n">
        <x:f>B11*'Scenario Inputs'!E9</x:f>
        <x:v>0</x:v>
      </x:c>
      <x:c r="C19" s="59" t="n">
        <x:f>C11*'Scenario Inputs'!F9</x:f>
        <x:v>0</x:v>
      </x:c>
      <x:c r="D19" s="59" t="n">
        <x:f>D11*'Scenario Inputs'!G9</x:f>
        <x:v>0</x:v>
      </x:c>
      <x:c r="E19" s="59" t="n">
        <x:f>E11*'Scenario Inputs'!H9</x:f>
        <x:v>0</x:v>
      </x:c>
      <x:c r="F19" s="59" t="n">
        <x:f>F11*'Scenario Inputs'!I9</x:f>
        <x:v>0</x:v>
      </x:c>
      <x:c r="G19" s="59" t="n">
        <x:f>G11*'Scenario Inputs'!J9</x:f>
        <x:v>0</x:v>
      </x:c>
      <x:c r="H19" s="59" t="n">
        <x:f>H11*'Scenario Inputs'!K9</x:f>
        <x:v>0</x:v>
      </x:c>
      <x:c r="I19" s="59" t="n">
        <x:f>I11*'Scenario Inputs'!L9</x:f>
        <x:v>0</x:v>
      </x:c>
      <x:c r="J19" s="59" t="n">
        <x:f>J11*'Scenario Inputs'!M9</x:f>
        <x:v>0</x:v>
      </x:c>
      <x:c r="K19" s="59" t="n">
        <x:f>K11*'Scenario Inputs'!N9</x:f>
        <x:v>0</x:v>
      </x:c>
      <x:c r="L19" s="59" t="n">
        <x:f>L11*'Scenario Inputs'!O9</x:f>
        <x:v>0</x:v>
      </x:c>
      <x:c r="M19" s="59" t="n">
        <x:f>M11*'Scenario Inputs'!P9</x:f>
        <x:v>0</x:v>
      </x:c>
    </x:row>
    <x:row r="20" ht="22" customHeight="1">
      <x:c r="A20" s="21" t="str">
        <x:v>Monitor setup revenue</x:v>
      </x:c>
      <x:c r="B20" s="59" t="n">
        <x:f>B14*'Scenario Inputs'!E13</x:f>
        <x:v>0</x:v>
      </x:c>
      <x:c r="C20" s="59" t="n">
        <x:f>C14*'Scenario Inputs'!F13</x:f>
        <x:v>0</x:v>
      </x:c>
      <x:c r="D20" s="59" t="n">
        <x:f>D14*'Scenario Inputs'!G13</x:f>
        <x:v>0</x:v>
      </x:c>
      <x:c r="E20" s="59" t="n">
        <x:f>E14*'Scenario Inputs'!H13</x:f>
        <x:v>0</x:v>
      </x:c>
      <x:c r="F20" s="59" t="n">
        <x:f>F14*'Scenario Inputs'!I13</x:f>
        <x:v>0</x:v>
      </x:c>
      <x:c r="G20" s="59" t="n">
        <x:f>G14*'Scenario Inputs'!J13</x:f>
        <x:v>0</x:v>
      </x:c>
      <x:c r="H20" s="59" t="n">
        <x:f>H14*'Scenario Inputs'!K13</x:f>
        <x:v>0</x:v>
      </x:c>
      <x:c r="I20" s="59" t="n">
        <x:f>I14*'Scenario Inputs'!L13</x:f>
        <x:v>0</x:v>
      </x:c>
      <x:c r="J20" s="59" t="n">
        <x:f>J14*'Scenario Inputs'!M13</x:f>
        <x:v>0</x:v>
      </x:c>
      <x:c r="K20" s="59" t="n">
        <x:f>K14*'Scenario Inputs'!N13</x:f>
        <x:v>0</x:v>
      </x:c>
      <x:c r="L20" s="59" t="n">
        <x:f>L14*'Scenario Inputs'!O13</x:f>
        <x:v>0</x:v>
      </x:c>
      <x:c r="M20" s="59" t="n">
        <x:f>M14*'Scenario Inputs'!P13</x:f>
        <x:v>0</x:v>
      </x:c>
    </x:row>
    <x:row r="21" ht="22" customHeight="1">
      <x:c r="A21" s="21" t="str">
        <x:v>Monitoring revenue</x:v>
      </x:c>
      <x:c r="B21" s="59" t="n">
        <x:f>B16*'Scenario Inputs'!E12</x:f>
        <x:v>0</x:v>
      </x:c>
      <x:c r="C21" s="59" t="n">
        <x:f>C16*'Scenario Inputs'!F12</x:f>
        <x:v>0</x:v>
      </x:c>
      <x:c r="D21" s="59" t="n">
        <x:f>D16*'Scenario Inputs'!G12</x:f>
        <x:v>0</x:v>
      </x:c>
      <x:c r="E21" s="59" t="n">
        <x:f>E16*'Scenario Inputs'!H12</x:f>
        <x:v>0</x:v>
      </x:c>
      <x:c r="F21" s="59" t="n">
        <x:f>F16*'Scenario Inputs'!I12</x:f>
        <x:v>0</x:v>
      </x:c>
      <x:c r="G21" s="59" t="n">
        <x:f>G16*'Scenario Inputs'!J12</x:f>
        <x:v>0</x:v>
      </x:c>
      <x:c r="H21" s="59" t="n">
        <x:f>H16*'Scenario Inputs'!K12</x:f>
        <x:v>0</x:v>
      </x:c>
      <x:c r="I21" s="59" t="n">
        <x:f>I16*'Scenario Inputs'!L12</x:f>
        <x:v>0</x:v>
      </x:c>
      <x:c r="J21" s="59" t="n">
        <x:f>J16*'Scenario Inputs'!M12</x:f>
        <x:v>0</x:v>
      </x:c>
      <x:c r="K21" s="59" t="n">
        <x:f>K16*'Scenario Inputs'!N12</x:f>
        <x:v>0</x:v>
      </x:c>
      <x:c r="L21" s="59" t="n">
        <x:f>L16*'Scenario Inputs'!O12</x:f>
        <x:v>0</x:v>
      </x:c>
      <x:c r="M21" s="59" t="n">
        <x:f>M16*'Scenario Inputs'!P12</x:f>
        <x:v>0</x:v>
      </x:c>
    </x:row>
    <x:row r="22" ht="22" customHeight="1">
      <x:c r="A22" s="21" t="str">
        <x:v>Toolkit revenue</x:v>
      </x:c>
      <x:c r="B22" s="59" t="n">
        <x:f>'Scenario Inputs'!E14*'Scenario Inputs'!E15</x:f>
        <x:v>0</x:v>
      </x:c>
      <x:c r="C22" s="59" t="n">
        <x:f>'Scenario Inputs'!F14*'Scenario Inputs'!F15</x:f>
        <x:v>0</x:v>
      </x:c>
      <x:c r="D22" s="59" t="n">
        <x:f>'Scenario Inputs'!G14*'Scenario Inputs'!G15</x:f>
        <x:v>0</x:v>
      </x:c>
      <x:c r="E22" s="59" t="n">
        <x:f>'Scenario Inputs'!H14*'Scenario Inputs'!H15</x:f>
        <x:v>0</x:v>
      </x:c>
      <x:c r="F22" s="59" t="n">
        <x:f>'Scenario Inputs'!I14*'Scenario Inputs'!I15</x:f>
        <x:v>0</x:v>
      </x:c>
      <x:c r="G22" s="59" t="n">
        <x:f>'Scenario Inputs'!J14*'Scenario Inputs'!J15</x:f>
        <x:v>0</x:v>
      </x:c>
      <x:c r="H22" s="59" t="n">
        <x:f>'Scenario Inputs'!K14*'Scenario Inputs'!K15</x:f>
        <x:v>0</x:v>
      </x:c>
      <x:c r="I22" s="59" t="n">
        <x:f>'Scenario Inputs'!L14*'Scenario Inputs'!L15</x:f>
        <x:v>0</x:v>
      </x:c>
      <x:c r="J22" s="59" t="n">
        <x:f>'Scenario Inputs'!M14*'Scenario Inputs'!M15</x:f>
        <x:v>0</x:v>
      </x:c>
      <x:c r="K22" s="59" t="n">
        <x:f>'Scenario Inputs'!N14*'Scenario Inputs'!N15</x:f>
        <x:v>0</x:v>
      </x:c>
      <x:c r="L22" s="59" t="n">
        <x:f>'Scenario Inputs'!O14*'Scenario Inputs'!O15</x:f>
        <x:v>0</x:v>
      </x:c>
      <x:c r="M22" s="59" t="n">
        <x:f>'Scenario Inputs'!P14*'Scenario Inputs'!P15</x:f>
        <x:v>0</x:v>
      </x:c>
    </x:row>
    <x:row r="23" ht="22" customHeight="1">
      <x:c r="A23" s="67" t="str">
        <x:v>TOTAL EARNED REVENUE</x:v>
      </x:c>
      <x:c r="B23" s="68" t="n">
        <x:f>SUM(B18:B22)</x:f>
        <x:v>0</x:v>
      </x:c>
      <x:c r="C23" s="68" t="n">
        <x:f>SUM(C18:C22)</x:f>
        <x:v>299</x:v>
      </x:c>
      <x:c r="D23" s="68" t="n">
        <x:f>SUM(D18:D22)</x:f>
        <x:v>0</x:v>
      </x:c>
      <x:c r="E23" s="68" t="n">
        <x:f>SUM(E18:E22)</x:f>
        <x:v>0</x:v>
      </x:c>
      <x:c r="F23" s="68" t="n">
        <x:f>SUM(F18:F22)</x:f>
        <x:v>0</x:v>
      </x:c>
      <x:c r="G23" s="68" t="n">
        <x:f>SUM(G18:G22)</x:f>
        <x:v>0</x:v>
      </x:c>
      <x:c r="H23" s="68" t="n">
        <x:f>SUM(H18:H22)</x:f>
        <x:v>0</x:v>
      </x:c>
      <x:c r="I23" s="68" t="n">
        <x:f>SUM(I18:I22)</x:f>
        <x:v>0</x:v>
      </x:c>
      <x:c r="J23" s="68" t="n">
        <x:f>SUM(J18:J22)</x:f>
        <x:v>0</x:v>
      </x:c>
      <x:c r="K23" s="68" t="n">
        <x:f>SUM(K18:K22)</x:f>
        <x:v>0</x:v>
      </x:c>
      <x:c r="L23" s="68" t="n">
        <x:f>SUM(L18:L22)</x:f>
        <x:v>0</x:v>
      </x:c>
      <x:c r="M23" s="68" t="n">
        <x:f>SUM(M18:M22)</x:f>
        <x:v>0</x:v>
      </x:c>
    </x:row>
    <x:row r="24" ht="22" customHeight="1">
      <x:c r="A24" s="21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</x:row>
    <x:row r="25" ht="22" customHeight="1">
      <x:c r="A25" s="21" t="str">
        <x:v>Platform and payment fees</x:v>
      </x:c>
      <x:c r="B25" s="59" t="n">
        <x:f>SUM(B18:B21)*('Scenario Inputs'!E25*'Inputs'!$C$7+(1-'Scenario Inputs'!E25)*'Inputs'!$C$5)+(B5+B11+B16+B14)*(1-'Scenario Inputs'!E25)*'Inputs'!$C$6+B22*'Inputs'!$C$8+'Scenario Inputs'!E14*'Inputs'!$C$9</x:f>
        <x:v>0</x:v>
      </x:c>
      <x:c r="C25" s="59" t="n">
        <x:f>SUM(C18:C21)*('Scenario Inputs'!F25*'Inputs'!$C$7+(1-'Scenario Inputs'!F25)*'Inputs'!$C$5)+(C5+C11+C16+C14)*(1-'Scenario Inputs'!F25)*'Inputs'!$C$6+C22*'Inputs'!$C$8+'Scenario Inputs'!F14*'Inputs'!$C$9</x:f>
        <x:v>28.555</x:v>
      </x:c>
      <x:c r="D25" s="59" t="n">
        <x:f>SUM(D18:D21)*('Scenario Inputs'!G25*'Inputs'!$C$7+(1-'Scenario Inputs'!G25)*'Inputs'!$C$5)+(D5+D11+D16+D14)*(1-'Scenario Inputs'!G25)*'Inputs'!$C$6+D22*'Inputs'!$C$8+'Scenario Inputs'!G14*'Inputs'!$C$9</x:f>
        <x:v>0</x:v>
      </x:c>
      <x:c r="E25" s="59" t="n">
        <x:f>SUM(E18:E21)*('Scenario Inputs'!H25*'Inputs'!$C$7+(1-'Scenario Inputs'!H25)*'Inputs'!$C$5)+(E5+E11+E16+E14)*(1-'Scenario Inputs'!H25)*'Inputs'!$C$6+E22*'Inputs'!$C$8+'Scenario Inputs'!H14*'Inputs'!$C$9</x:f>
        <x:v>0</x:v>
      </x:c>
      <x:c r="F25" s="59" t="n">
        <x:f>SUM(F18:F21)*('Scenario Inputs'!I25*'Inputs'!$C$7+(1-'Scenario Inputs'!I25)*'Inputs'!$C$5)+(F5+F11+F16+F14)*(1-'Scenario Inputs'!I25)*'Inputs'!$C$6+F22*'Inputs'!$C$8+'Scenario Inputs'!I14*'Inputs'!$C$9</x:f>
        <x:v>0</x:v>
      </x:c>
      <x:c r="G25" s="59" t="n">
        <x:f>SUM(G18:G21)*('Scenario Inputs'!J25*'Inputs'!$C$7+(1-'Scenario Inputs'!J25)*'Inputs'!$C$5)+(G5+G11+G16+G14)*(1-'Scenario Inputs'!J25)*'Inputs'!$C$6+G22*'Inputs'!$C$8+'Scenario Inputs'!J14*'Inputs'!$C$9</x:f>
        <x:v>0</x:v>
      </x:c>
      <x:c r="H25" s="59" t="n">
        <x:f>SUM(H18:H21)*('Scenario Inputs'!K25*'Inputs'!$C$7+(1-'Scenario Inputs'!K25)*'Inputs'!$C$5)+(H5+H11+H16+H14)*(1-'Scenario Inputs'!K25)*'Inputs'!$C$6+H22*'Inputs'!$C$8+'Scenario Inputs'!K14*'Inputs'!$C$9</x:f>
        <x:v>0</x:v>
      </x:c>
      <x:c r="I25" s="59" t="n">
        <x:f>SUM(I18:I21)*('Scenario Inputs'!L25*'Inputs'!$C$7+(1-'Scenario Inputs'!L25)*'Inputs'!$C$5)+(I5+I11+I16+I14)*(1-'Scenario Inputs'!L25)*'Inputs'!$C$6+I22*'Inputs'!$C$8+'Scenario Inputs'!L14*'Inputs'!$C$9</x:f>
        <x:v>0</x:v>
      </x:c>
      <x:c r="J25" s="59" t="n">
        <x:f>SUM(J18:J21)*('Scenario Inputs'!M25*'Inputs'!$C$7+(1-'Scenario Inputs'!M25)*'Inputs'!$C$5)+(J5+J11+J16+J14)*(1-'Scenario Inputs'!M25)*'Inputs'!$C$6+J22*'Inputs'!$C$8+'Scenario Inputs'!M14*'Inputs'!$C$9</x:f>
        <x:v>0</x:v>
      </x:c>
      <x:c r="K25" s="59" t="n">
        <x:f>SUM(K18:K21)*('Scenario Inputs'!N25*'Inputs'!$C$7+(1-'Scenario Inputs'!N25)*'Inputs'!$C$5)+(K5+K11+K16+K14)*(1-'Scenario Inputs'!N25)*'Inputs'!$C$6+K22*'Inputs'!$C$8+'Scenario Inputs'!N14*'Inputs'!$C$9</x:f>
        <x:v>0</x:v>
      </x:c>
      <x:c r="L25" s="59" t="n">
        <x:f>SUM(L18:L21)*('Scenario Inputs'!O25*'Inputs'!$C$7+(1-'Scenario Inputs'!O25)*'Inputs'!$C$5)+(L5+L11+L16+L14)*(1-'Scenario Inputs'!O25)*'Inputs'!$C$6+L22*'Inputs'!$C$8+'Scenario Inputs'!O14*'Inputs'!$C$9</x:f>
        <x:v>0</x:v>
      </x:c>
      <x:c r="M25" s="59" t="n">
        <x:f>SUM(M18:M21)*('Scenario Inputs'!P25*'Inputs'!$C$7+(1-'Scenario Inputs'!P25)*'Inputs'!$C$5)+(M5+M11+M16+M14)*(1-'Scenario Inputs'!P25)*'Inputs'!$C$6+M22*'Inputs'!$C$8+'Scenario Inputs'!P14*'Inputs'!$C$9</x:f>
        <x:v>0</x:v>
      </x:c>
    </x:row>
    <x:row r="26" ht="22" customHeight="1">
      <x:c r="A26" s="21" t="str">
        <x:v>Refund/rework allowance</x:v>
      </x:c>
      <x:c r="B26" s="59" t="n">
        <x:f>B23*'Inputs'!$C$10</x:f>
        <x:v>0</x:v>
      </x:c>
      <x:c r="C26" s="59" t="n">
        <x:f>C23*'Inputs'!$C$10</x:f>
        <x:v>8.969999999999999</x:v>
      </x:c>
      <x:c r="D26" s="59" t="n">
        <x:f>D23*'Inputs'!$C$10</x:f>
        <x:v>0</x:v>
      </x:c>
      <x:c r="E26" s="59" t="n">
        <x:f>E23*'Inputs'!$C$10</x:f>
        <x:v>0</x:v>
      </x:c>
      <x:c r="F26" s="59" t="n">
        <x:f>F23*'Inputs'!$C$10</x:f>
        <x:v>0</x:v>
      </x:c>
      <x:c r="G26" s="59" t="n">
        <x:f>G23*'Inputs'!$C$10</x:f>
        <x:v>0</x:v>
      </x:c>
      <x:c r="H26" s="59" t="n">
        <x:f>H23*'Inputs'!$C$10</x:f>
        <x:v>0</x:v>
      </x:c>
      <x:c r="I26" s="59" t="n">
        <x:f>I23*'Inputs'!$C$10</x:f>
        <x:v>0</x:v>
      </x:c>
      <x:c r="J26" s="59" t="n">
        <x:f>J23*'Inputs'!$C$10</x:f>
        <x:v>0</x:v>
      </x:c>
      <x:c r="K26" s="59" t="n">
        <x:f>K23*'Inputs'!$C$10</x:f>
        <x:v>0</x:v>
      </x:c>
      <x:c r="L26" s="59" t="n">
        <x:f>L23*'Inputs'!$C$10</x:f>
        <x:v>0</x:v>
      </x:c>
      <x:c r="M26" s="59" t="n">
        <x:f>M23*'Inputs'!$C$10</x:f>
        <x:v>0</x:v>
      </x:c>
    </x:row>
    <x:row r="27" ht="22" customHeight="1">
      <x:c r="A27" s="21" t="str">
        <x:v>FX / payment-risk allowance</x:v>
      </x:c>
      <x:c r="B27" s="59" t="n">
        <x:f>B23*'Inputs'!$C$11</x:f>
        <x:v>0</x:v>
      </x:c>
      <x:c r="C27" s="59" t="n">
        <x:f>C23*'Inputs'!$C$11</x:f>
        <x:v>5.98</x:v>
      </x:c>
      <x:c r="D27" s="59" t="n">
        <x:f>D23*'Inputs'!$C$11</x:f>
        <x:v>0</x:v>
      </x:c>
      <x:c r="E27" s="59" t="n">
        <x:f>E23*'Inputs'!$C$11</x:f>
        <x:v>0</x:v>
      </x:c>
      <x:c r="F27" s="59" t="n">
        <x:f>F23*'Inputs'!$C$11</x:f>
        <x:v>0</x:v>
      </x:c>
      <x:c r="G27" s="59" t="n">
        <x:f>G23*'Inputs'!$C$11</x:f>
        <x:v>0</x:v>
      </x:c>
      <x:c r="H27" s="59" t="n">
        <x:f>H23*'Inputs'!$C$11</x:f>
        <x:v>0</x:v>
      </x:c>
      <x:c r="I27" s="59" t="n">
        <x:f>I23*'Inputs'!$C$11</x:f>
        <x:v>0</x:v>
      </x:c>
      <x:c r="J27" s="59" t="n">
        <x:f>J23*'Inputs'!$C$11</x:f>
        <x:v>0</x:v>
      </x:c>
      <x:c r="K27" s="59" t="n">
        <x:f>K23*'Inputs'!$C$11</x:f>
        <x:v>0</x:v>
      </x:c>
      <x:c r="L27" s="59" t="n">
        <x:f>L23*'Inputs'!$C$11</x:f>
        <x:v>0</x:v>
      </x:c>
      <x:c r="M27" s="59" t="n">
        <x:f>M23*'Inputs'!$C$11</x:f>
        <x:v>0</x:v>
      </x:c>
    </x:row>
    <x:row r="28" ht="22" customHeight="1">
      <x:c r="A28" s="21" t="str">
        <x:v>Variable delivery / hosting costs</x:v>
      </x:c>
      <x:c r="B28" s="59" t="n">
        <x:f>B5*'Inputs'!$C$12+B11*'Inputs'!$C$13+B16*'Inputs'!$C$14+'Scenario Inputs'!E14*'Inputs'!$C$15</x:f>
        <x:v>0</x:v>
      </x:c>
      <x:c r="C28" s="59" t="n">
        <x:f>C5*'Inputs'!$C$12+C11*'Inputs'!$C$13+C16*'Inputs'!$C$14+'Scenario Inputs'!F14*'Inputs'!$C$15</x:f>
        <x:v>10</x:v>
      </x:c>
      <x:c r="D28" s="59" t="n">
        <x:f>D5*'Inputs'!$C$12+D11*'Inputs'!$C$13+D16*'Inputs'!$C$14+'Scenario Inputs'!G14*'Inputs'!$C$15</x:f>
        <x:v>0</x:v>
      </x:c>
      <x:c r="E28" s="59" t="n">
        <x:f>E5*'Inputs'!$C$12+E11*'Inputs'!$C$13+E16*'Inputs'!$C$14+'Scenario Inputs'!H14*'Inputs'!$C$15</x:f>
        <x:v>0</x:v>
      </x:c>
      <x:c r="F28" s="59" t="n">
        <x:f>F5*'Inputs'!$C$12+F11*'Inputs'!$C$13+F16*'Inputs'!$C$14+'Scenario Inputs'!I14*'Inputs'!$C$15</x:f>
        <x:v>0</x:v>
      </x:c>
      <x:c r="G28" s="59" t="n">
        <x:f>G5*'Inputs'!$C$12+G11*'Inputs'!$C$13+G16*'Inputs'!$C$14+'Scenario Inputs'!J14*'Inputs'!$C$15</x:f>
        <x:v>0</x:v>
      </x:c>
      <x:c r="H28" s="59" t="n">
        <x:f>H5*'Inputs'!$C$12+H11*'Inputs'!$C$13+H16*'Inputs'!$C$14+'Scenario Inputs'!K14*'Inputs'!$C$15</x:f>
        <x:v>0</x:v>
      </x:c>
      <x:c r="I28" s="59" t="n">
        <x:f>I5*'Inputs'!$C$12+I11*'Inputs'!$C$13+I16*'Inputs'!$C$14+'Scenario Inputs'!L14*'Inputs'!$C$15</x:f>
        <x:v>0</x:v>
      </x:c>
      <x:c r="J28" s="59" t="n">
        <x:f>J5*'Inputs'!$C$12+J11*'Inputs'!$C$13+J16*'Inputs'!$C$14+'Scenario Inputs'!M14*'Inputs'!$C$15</x:f>
        <x:v>0</x:v>
      </x:c>
      <x:c r="K28" s="59" t="n">
        <x:f>K5*'Inputs'!$C$12+K11*'Inputs'!$C$13+K16*'Inputs'!$C$14+'Scenario Inputs'!N14*'Inputs'!$C$15</x:f>
        <x:v>0</x:v>
      </x:c>
      <x:c r="L28" s="59" t="n">
        <x:f>L5*'Inputs'!$C$12+L11*'Inputs'!$C$13+L16*'Inputs'!$C$14+'Scenario Inputs'!O14*'Inputs'!$C$15</x:f>
        <x:v>0</x:v>
      </x:c>
      <x:c r="M28" s="59" t="n">
        <x:f>M5*'Inputs'!$C$12+M11*'Inputs'!$C$13+M16*'Inputs'!$C$14+'Scenario Inputs'!P14*'Inputs'!$C$15</x:f>
        <x:v>0</x:v>
      </x:c>
    </x:row>
    <x:row r="29" ht="22" customHeight="1">
      <x:c r="A29" s="21" t="str">
        <x:v>Fixed tools, hosting and admin</x:v>
      </x:c>
      <x:c r="B29" s="83" t="n">
        <x:f>'Scenario Inputs'!E16</x:f>
        <x:v>30</x:v>
      </x:c>
      <x:c r="C29" s="83" t="n">
        <x:f>'Scenario Inputs'!F16</x:f>
        <x:v>20</x:v>
      </x:c>
      <x:c r="D29" s="83" t="n">
        <x:f>'Scenario Inputs'!G16</x:f>
        <x:v>0</x:v>
      </x:c>
      <x:c r="E29" s="83" t="n">
        <x:f>'Scenario Inputs'!H16</x:f>
        <x:v>0</x:v>
      </x:c>
      <x:c r="F29" s="83" t="n">
        <x:f>'Scenario Inputs'!I16</x:f>
        <x:v>0</x:v>
      </x:c>
      <x:c r="G29" s="83" t="n">
        <x:f>'Scenario Inputs'!J16</x:f>
        <x:v>0</x:v>
      </x:c>
      <x:c r="H29" s="83" t="n">
        <x:f>'Scenario Inputs'!K16</x:f>
        <x:v>0</x:v>
      </x:c>
      <x:c r="I29" s="83" t="n">
        <x:f>'Scenario Inputs'!L16</x:f>
        <x:v>0</x:v>
      </x:c>
      <x:c r="J29" s="83" t="n">
        <x:f>'Scenario Inputs'!M16</x:f>
        <x:v>0</x:v>
      </x:c>
      <x:c r="K29" s="83" t="n">
        <x:f>'Scenario Inputs'!N16</x:f>
        <x:v>0</x:v>
      </x:c>
      <x:c r="L29" s="83" t="n">
        <x:f>'Scenario Inputs'!O16</x:f>
        <x:v>0</x:v>
      </x:c>
      <x:c r="M29" s="83" t="n">
        <x:f>'Scenario Inputs'!P16</x:f>
        <x:v>0</x:v>
      </x:c>
    </x:row>
    <x:row r="30" ht="22" customHeight="1">
      <x:c r="A30" s="21" t="str">
        <x:v>Cash customer acquisition</x:v>
      </x:c>
      <x:c r="B30" s="83" t="n">
        <x:f>'Scenario Inputs'!E17</x:f>
        <x:v>25</x:v>
      </x:c>
      <x:c r="C30" s="83" t="n">
        <x:f>'Scenario Inputs'!F17</x:f>
        <x:v>25</x:v>
      </x:c>
      <x:c r="D30" s="83" t="n">
        <x:f>'Scenario Inputs'!G17</x:f>
        <x:v>0</x:v>
      </x:c>
      <x:c r="E30" s="83" t="n">
        <x:f>'Scenario Inputs'!H17</x:f>
        <x:v>0</x:v>
      </x:c>
      <x:c r="F30" s="83" t="n">
        <x:f>'Scenario Inputs'!I17</x:f>
        <x:v>0</x:v>
      </x:c>
      <x:c r="G30" s="83" t="n">
        <x:f>'Scenario Inputs'!J17</x:f>
        <x:v>0</x:v>
      </x:c>
      <x:c r="H30" s="83" t="n">
        <x:f>'Scenario Inputs'!K17</x:f>
        <x:v>0</x:v>
      </x:c>
      <x:c r="I30" s="83" t="n">
        <x:f>'Scenario Inputs'!L17</x:f>
        <x:v>0</x:v>
      </x:c>
      <x:c r="J30" s="83" t="n">
        <x:f>'Scenario Inputs'!M17</x:f>
        <x:v>0</x:v>
      </x:c>
      <x:c r="K30" s="83" t="n">
        <x:f>'Scenario Inputs'!N17</x:f>
        <x:v>0</x:v>
      </x:c>
      <x:c r="L30" s="83" t="n">
        <x:f>'Scenario Inputs'!O17</x:f>
        <x:v>0</x:v>
      </x:c>
      <x:c r="M30" s="83" t="n">
        <x:f>'Scenario Inputs'!P17</x:f>
        <x:v>0</x:v>
      </x:c>
    </x:row>
    <x:row r="31" ht="22" customHeight="1">
      <x:c r="A31" s="21" t="str">
        <x:v>Contractor delivery / operations</x:v>
      </x:c>
      <x:c r="B31" s="59" t="n">
        <x:f>'Scenario Inputs'!E18*'Inputs'!$C$16</x:f>
        <x:v>0</x:v>
      </x:c>
      <x:c r="C31" s="59" t="n">
        <x:f>'Scenario Inputs'!F18*'Inputs'!$C$16</x:f>
        <x:v>0</x:v>
      </x:c>
      <x:c r="D31" s="59" t="n">
        <x:f>'Scenario Inputs'!G18*'Inputs'!$C$16</x:f>
        <x:v>0</x:v>
      </x:c>
      <x:c r="E31" s="59" t="n">
        <x:f>'Scenario Inputs'!H18*'Inputs'!$C$16</x:f>
        <x:v>0</x:v>
      </x:c>
      <x:c r="F31" s="59" t="n">
        <x:f>'Scenario Inputs'!I18*'Inputs'!$C$16</x:f>
        <x:v>0</x:v>
      </x:c>
      <x:c r="G31" s="59" t="n">
        <x:f>'Scenario Inputs'!J18*'Inputs'!$C$16</x:f>
        <x:v>0</x:v>
      </x:c>
      <x:c r="H31" s="59" t="n">
        <x:f>'Scenario Inputs'!K18*'Inputs'!$C$16</x:f>
        <x:v>0</x:v>
      </x:c>
      <x:c r="I31" s="59" t="n">
        <x:f>'Scenario Inputs'!L18*'Inputs'!$C$16</x:f>
        <x:v>0</x:v>
      </x:c>
      <x:c r="J31" s="59" t="n">
        <x:f>'Scenario Inputs'!M18*'Inputs'!$C$16</x:f>
        <x:v>0</x:v>
      </x:c>
      <x:c r="K31" s="59" t="n">
        <x:f>'Scenario Inputs'!N18*'Inputs'!$C$16</x:f>
        <x:v>0</x:v>
      </x:c>
      <x:c r="L31" s="59" t="n">
        <x:f>'Scenario Inputs'!O18*'Inputs'!$C$16</x:f>
        <x:v>0</x:v>
      </x:c>
      <x:c r="M31" s="59" t="n">
        <x:f>'Scenario Inputs'!P18*'Inputs'!$C$16</x:f>
        <x:v>0</x:v>
      </x:c>
    </x:row>
    <x:row r="32" ht="22" customHeight="1">
      <x:c r="A32" s="21" t="str">
        <x:v>Initial setup spend</x:v>
      </x:c>
      <x:c r="B32" s="83" t="n">
        <x:f>'Scenario Inputs'!E28</x:f>
        <x:v>30</x:v>
      </x:c>
      <x:c r="C32" s="83" t="n">
        <x:f>0</x:f>
        <x:v>0</x:v>
      </x:c>
      <x:c r="D32" s="83" t="n">
        <x:f>0</x:f>
        <x:v>0</x:v>
      </x:c>
      <x:c r="E32" s="83" t="n">
        <x:f>0</x:f>
        <x:v>0</x:v>
      </x:c>
      <x:c r="F32" s="83" t="n">
        <x:f>0</x:f>
        <x:v>0</x:v>
      </x:c>
      <x:c r="G32" s="83" t="n">
        <x:f>0</x:f>
        <x:v>0</x:v>
      </x:c>
      <x:c r="H32" s="83" t="n">
        <x:f>0</x:f>
        <x:v>0</x:v>
      </x:c>
      <x:c r="I32" s="83" t="n">
        <x:f>0</x:f>
        <x:v>0</x:v>
      </x:c>
      <x:c r="J32" s="83" t="n">
        <x:f>0</x:f>
        <x:v>0</x:v>
      </x:c>
      <x:c r="K32" s="83" t="n">
        <x:f>0</x:f>
        <x:v>0</x:v>
      </x:c>
      <x:c r="L32" s="83" t="n">
        <x:f>0</x:f>
        <x:v>0</x:v>
      </x:c>
      <x:c r="M32" s="83" t="n">
        <x:f>0</x:f>
        <x:v>0</x:v>
      </x:c>
    </x:row>
    <x:row r="33" ht="22" customHeight="1">
      <x:c r="A33" s="67" t="str">
        <x:v>TOTAL OPERATING EXPENSES</x:v>
      </x:c>
      <x:c r="B33" s="68" t="n">
        <x:f>SUM(B25:B32)</x:f>
        <x:v>85</x:v>
      </x:c>
      <x:c r="C33" s="68" t="n">
        <x:f>SUM(C25:C32)</x:f>
        <x:v>98.505</x:v>
      </x:c>
      <x:c r="D33" s="68" t="n">
        <x:f>SUM(D25:D32)</x:f>
        <x:v>0</x:v>
      </x:c>
      <x:c r="E33" s="68" t="n">
        <x:f>SUM(E25:E32)</x:f>
        <x:v>0</x:v>
      </x:c>
      <x:c r="F33" s="68" t="n">
        <x:f>SUM(F25:F32)</x:f>
        <x:v>0</x:v>
      </x:c>
      <x:c r="G33" s="68" t="n">
        <x:f>SUM(G25:G32)</x:f>
        <x:v>0</x:v>
      </x:c>
      <x:c r="H33" s="68" t="n">
        <x:f>SUM(H25:H32)</x:f>
        <x:v>0</x:v>
      </x:c>
      <x:c r="I33" s="68" t="n">
        <x:f>SUM(I25:I32)</x:f>
        <x:v>0</x:v>
      </x:c>
      <x:c r="J33" s="68" t="n">
        <x:f>SUM(J25:J32)</x:f>
        <x:v>0</x:v>
      </x:c>
      <x:c r="K33" s="68" t="n">
        <x:f>SUM(K25:K32)</x:f>
        <x:v>0</x:v>
      </x:c>
      <x:c r="L33" s="68" t="n">
        <x:f>SUM(L25:L32)</x:f>
        <x:v>0</x:v>
      </x:c>
      <x:c r="M33" s="68" t="n">
        <x:f>SUM(M25:M32)</x:f>
        <x:v>0</x:v>
      </x:c>
    </x:row>
    <x:row r="34" ht="22" customHeight="1">
      <x:c r="A34" s="21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</x:row>
    <x:row r="35" ht="22" customHeight="1">
      <x:c r="A35" s="67" t="str">
        <x:v>OPERATING PROFIT BEFORE OWNER PAY</x:v>
      </x:c>
      <x:c r="B35" s="68" t="n">
        <x:f>B23-B33</x:f>
        <x:v>-85</x:v>
      </x:c>
      <x:c r="C35" s="68" t="n">
        <x:f>C23-C33</x:f>
        <x:v>200.495</x:v>
      </x:c>
      <x:c r="D35" s="68" t="n">
        <x:f>D23-D33</x:f>
        <x:v>0</x:v>
      </x:c>
      <x:c r="E35" s="68" t="n">
        <x:f>E23-E33</x:f>
        <x:v>0</x:v>
      </x:c>
      <x:c r="F35" s="68" t="n">
        <x:f>F23-F33</x:f>
        <x:v>0</x:v>
      </x:c>
      <x:c r="G35" s="68" t="n">
        <x:f>G23-G33</x:f>
        <x:v>0</x:v>
      </x:c>
      <x:c r="H35" s="68" t="n">
        <x:f>H23-H33</x:f>
        <x:v>0</x:v>
      </x:c>
      <x:c r="I35" s="68" t="n">
        <x:f>I23-I33</x:f>
        <x:v>0</x:v>
      </x:c>
      <x:c r="J35" s="68" t="n">
        <x:f>J23-J33</x:f>
        <x:v>0</x:v>
      </x:c>
      <x:c r="K35" s="68" t="n">
        <x:f>K23-K33</x:f>
        <x:v>0</x:v>
      </x:c>
      <x:c r="L35" s="68" t="n">
        <x:f>L23-L33</x:f>
        <x:v>0</x:v>
      </x:c>
      <x:c r="M35" s="68" t="n">
        <x:f>M23-M33</x:f>
        <x:v>0</x:v>
      </x:c>
    </x:row>
    <x:row r="36" ht="22" customHeight="1">
      <x:c r="A36" s="21" t="str">
        <x:v>Operating profit margin</x:v>
      </x:c>
      <x:c r="B36" s="61" t="n">
        <x:f>IFERROR(B35/B23,0)</x:f>
        <x:v>0</x:v>
      </x:c>
      <x:c r="C36" s="61" t="n">
        <x:f>IFERROR(C35/C23,0)</x:f>
        <x:v>0.670551839464883</x:v>
      </x:c>
      <x:c r="D36" s="61" t="n">
        <x:f>IFERROR(D35/D23,0)</x:f>
        <x:v>0</x:v>
      </x:c>
      <x:c r="E36" s="61" t="n">
        <x:f>IFERROR(E35/E23,0)</x:f>
        <x:v>0</x:v>
      </x:c>
      <x:c r="F36" s="61" t="n">
        <x:f>IFERROR(F35/F23,0)</x:f>
        <x:v>0</x:v>
      </x:c>
      <x:c r="G36" s="61" t="n">
        <x:f>IFERROR(G35/G23,0)</x:f>
        <x:v>0</x:v>
      </x:c>
      <x:c r="H36" s="61" t="n">
        <x:f>IFERROR(H35/H23,0)</x:f>
        <x:v>0</x:v>
      </x:c>
      <x:c r="I36" s="61" t="n">
        <x:f>IFERROR(I35/I23,0)</x:f>
        <x:v>0</x:v>
      </x:c>
      <x:c r="J36" s="61" t="n">
        <x:f>IFERROR(J35/J23,0)</x:f>
        <x:v>0</x:v>
      </x:c>
      <x:c r="K36" s="61" t="n">
        <x:f>IFERROR(K35/K23,0)</x:f>
        <x:v>0</x:v>
      </x:c>
      <x:c r="L36" s="61" t="n">
        <x:f>IFERROR(L35/L23,0)</x:f>
        <x:v>0</x:v>
      </x:c>
      <x:c r="M36" s="61" t="n">
        <x:f>IFERROR(M35/M23,0)</x:f>
        <x:v>0</x:v>
      </x:c>
    </x:row>
    <x:row r="37" ht="22" customHeight="1">
      <x:c r="A37" s="21" t="str">
        <x:v>Cumulative operating profit</x:v>
      </x:c>
      <x:c r="B37" s="59" t="n">
        <x:f>SUM($B35:B35)</x:f>
        <x:v>-85</x:v>
      </x:c>
      <x:c r="C37" s="59" t="n">
        <x:f>SUM($B35:C35)</x:f>
        <x:v>115.495</x:v>
      </x:c>
      <x:c r="D37" s="59" t="n">
        <x:f>SUM($B35:D35)</x:f>
        <x:v>115.495</x:v>
      </x:c>
      <x:c r="E37" s="59" t="n">
        <x:f>SUM($B35:E35)</x:f>
        <x:v>115.495</x:v>
      </x:c>
      <x:c r="F37" s="59" t="n">
        <x:f>SUM($B35:F35)</x:f>
        <x:v>115.495</x:v>
      </x:c>
      <x:c r="G37" s="59" t="n">
        <x:f>SUM($B35:G35)</x:f>
        <x:v>115.495</x:v>
      </x:c>
      <x:c r="H37" s="59" t="n">
        <x:f>SUM($B35:H35)</x:f>
        <x:v>115.495</x:v>
      </x:c>
      <x:c r="I37" s="59" t="n">
        <x:f>SUM($B35:I35)</x:f>
        <x:v>115.495</x:v>
      </x:c>
      <x:c r="J37" s="59" t="n">
        <x:f>SUM($B35:J35)</x:f>
        <x:v>115.495</x:v>
      </x:c>
      <x:c r="K37" s="59" t="n">
        <x:f>SUM($B35:K35)</x:f>
        <x:v>115.495</x:v>
      </x:c>
      <x:c r="L37" s="59" t="n">
        <x:f>SUM($B35:L35)</x:f>
        <x:v>115.495</x:v>
      </x:c>
      <x:c r="M37" s="59" t="n">
        <x:f>SUM($B35:M35)</x:f>
        <x:v>115.495</x:v>
      </x:c>
    </x:row>
    <x:row r="38" ht="22" customHeight="1">
      <x:c r="A38" s="21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 ht="22" customHeight="1">
      <x:c r="A39" s="21" t="str">
        <x:v>Gross owner operations hours</x:v>
      </x:c>
      <x:c r="B39" s="57" t="n">
        <x:f>B5*'Scenario Inputs'!E22+B11*'Scenario Inputs'!E23+B16*'Scenario Inputs'!E24+B14*'Inputs'!$C$21+'Scenario Inputs'!E14*'Inputs'!$C$19</x:f>
        <x:v>0</x:v>
      </x:c>
      <x:c r="C39" s="57" t="n">
        <x:f>C5*'Scenario Inputs'!F22+C11*'Scenario Inputs'!F23+C16*'Scenario Inputs'!F24+C14*'Inputs'!$C$21+'Scenario Inputs'!F14*'Inputs'!$C$19</x:f>
        <x:v>6</x:v>
      </x:c>
      <x:c r="D39" s="57" t="n">
        <x:f>D5*'Scenario Inputs'!G22+D11*'Scenario Inputs'!G23+D16*'Scenario Inputs'!G24+D14*'Inputs'!$C$21+'Scenario Inputs'!G14*'Inputs'!$C$19</x:f>
        <x:v>0</x:v>
      </x:c>
      <x:c r="E39" s="57" t="n">
        <x:f>E5*'Scenario Inputs'!H22+E11*'Scenario Inputs'!H23+E16*'Scenario Inputs'!H24+E14*'Inputs'!$C$21+'Scenario Inputs'!H14*'Inputs'!$C$19</x:f>
        <x:v>0</x:v>
      </x:c>
      <x:c r="F39" s="57" t="n">
        <x:f>F5*'Scenario Inputs'!I22+F11*'Scenario Inputs'!I23+F16*'Scenario Inputs'!I24+F14*'Inputs'!$C$21+'Scenario Inputs'!I14*'Inputs'!$C$19</x:f>
        <x:v>0</x:v>
      </x:c>
      <x:c r="G39" s="57" t="n">
        <x:f>G5*'Scenario Inputs'!J22+G11*'Scenario Inputs'!J23+G16*'Scenario Inputs'!J24+G14*'Inputs'!$C$21+'Scenario Inputs'!J14*'Inputs'!$C$19</x:f>
        <x:v>0</x:v>
      </x:c>
      <x:c r="H39" s="57" t="n">
        <x:f>H5*'Scenario Inputs'!K22+H11*'Scenario Inputs'!K23+H16*'Scenario Inputs'!K24+H14*'Inputs'!$C$21+'Scenario Inputs'!K14*'Inputs'!$C$19</x:f>
        <x:v>0</x:v>
      </x:c>
      <x:c r="I39" s="57" t="n">
        <x:f>I5*'Scenario Inputs'!L22+I11*'Scenario Inputs'!L23+I16*'Scenario Inputs'!L24+I14*'Inputs'!$C$21+'Scenario Inputs'!L14*'Inputs'!$C$19</x:f>
        <x:v>0</x:v>
      </x:c>
      <x:c r="J39" s="57" t="n">
        <x:f>J5*'Scenario Inputs'!M22+J11*'Scenario Inputs'!M23+J16*'Scenario Inputs'!M24+J14*'Inputs'!$C$21+'Scenario Inputs'!M14*'Inputs'!$C$19</x:f>
        <x:v>0</x:v>
      </x:c>
      <x:c r="K39" s="57" t="n">
        <x:f>K5*'Scenario Inputs'!N22+K11*'Scenario Inputs'!N23+K16*'Scenario Inputs'!N24+K14*'Inputs'!$C$21+'Scenario Inputs'!N14*'Inputs'!$C$19</x:f>
        <x:v>0</x:v>
      </x:c>
      <x:c r="L39" s="57" t="n">
        <x:f>L5*'Scenario Inputs'!O22+L11*'Scenario Inputs'!O23+L16*'Scenario Inputs'!O24+L14*'Inputs'!$C$21+'Scenario Inputs'!O14*'Inputs'!$C$19</x:f>
        <x:v>0</x:v>
      </x:c>
      <x:c r="M39" s="57" t="n">
        <x:f>M5*'Scenario Inputs'!P22+M11*'Scenario Inputs'!P23+M16*'Scenario Inputs'!P24+M14*'Inputs'!$C$21+'Scenario Inputs'!P14*'Inputs'!$C$19</x:f>
        <x:v>0</x:v>
      </x:c>
    </x:row>
    <x:row r="40" ht="22" customHeight="1">
      <x:c r="A40" s="21" t="str">
        <x:v>Effective contractor delegation hours</x:v>
      </x:c>
      <x:c r="B40" s="57" t="n">
        <x:f>'Scenario Inputs'!E18*'Inputs'!$C$20</x:f>
        <x:v>0</x:v>
      </x:c>
      <x:c r="C40" s="57" t="n">
        <x:f>'Scenario Inputs'!F18*'Inputs'!$C$20</x:f>
        <x:v>0</x:v>
      </x:c>
      <x:c r="D40" s="57" t="n">
        <x:f>'Scenario Inputs'!G18*'Inputs'!$C$20</x:f>
        <x:v>0</x:v>
      </x:c>
      <x:c r="E40" s="57" t="n">
        <x:f>'Scenario Inputs'!H18*'Inputs'!$C$20</x:f>
        <x:v>0</x:v>
      </x:c>
      <x:c r="F40" s="57" t="n">
        <x:f>'Scenario Inputs'!I18*'Inputs'!$C$20</x:f>
        <x:v>0</x:v>
      </x:c>
      <x:c r="G40" s="57" t="n">
        <x:f>'Scenario Inputs'!J18*'Inputs'!$C$20</x:f>
        <x:v>0</x:v>
      </x:c>
      <x:c r="H40" s="57" t="n">
        <x:f>'Scenario Inputs'!K18*'Inputs'!$C$20</x:f>
        <x:v>0</x:v>
      </x:c>
      <x:c r="I40" s="57" t="n">
        <x:f>'Scenario Inputs'!L18*'Inputs'!$C$20</x:f>
        <x:v>0</x:v>
      </x:c>
      <x:c r="J40" s="57" t="n">
        <x:f>'Scenario Inputs'!M18*'Inputs'!$C$20</x:f>
        <x:v>0</x:v>
      </x:c>
      <x:c r="K40" s="57" t="n">
        <x:f>'Scenario Inputs'!N18*'Inputs'!$C$20</x:f>
        <x:v>0</x:v>
      </x:c>
      <x:c r="L40" s="57" t="n">
        <x:f>'Scenario Inputs'!O18*'Inputs'!$C$20</x:f>
        <x:v>0</x:v>
      </x:c>
      <x:c r="M40" s="57" t="n">
        <x:f>'Scenario Inputs'!P18*'Inputs'!$C$20</x:f>
        <x:v>0</x:v>
      </x:c>
    </x:row>
    <x:row r="41" ht="22" customHeight="1">
      <x:c r="A41" s="21" t="str">
        <x:v>Retained owner operations hours</x:v>
      </x:c>
      <x:c r="B41" s="57" t="n">
        <x:f>MAX(B39-B40,0)</x:f>
        <x:v>0</x:v>
      </x:c>
      <x:c r="C41" s="57" t="n">
        <x:f>MAX(C39-C40,0)</x:f>
        <x:v>6</x:v>
      </x:c>
      <x:c r="D41" s="57" t="n">
        <x:f>MAX(D39-D40,0)</x:f>
        <x:v>0</x:v>
      </x:c>
      <x:c r="E41" s="57" t="n">
        <x:f>MAX(E39-E40,0)</x:f>
        <x:v>0</x:v>
      </x:c>
      <x:c r="F41" s="57" t="n">
        <x:f>MAX(F39-F40,0)</x:f>
        <x:v>0</x:v>
      </x:c>
      <x:c r="G41" s="57" t="n">
        <x:f>MAX(G39-G40,0)</x:f>
        <x:v>0</x:v>
      </x:c>
      <x:c r="H41" s="57" t="n">
        <x:f>MAX(H39-H40,0)</x:f>
        <x:v>0</x:v>
      </x:c>
      <x:c r="I41" s="57" t="n">
        <x:f>MAX(I39-I40,0)</x:f>
        <x:v>0</x:v>
      </x:c>
      <x:c r="J41" s="57" t="n">
        <x:f>MAX(J39-J40,0)</x:f>
        <x:v>0</x:v>
      </x:c>
      <x:c r="K41" s="57" t="n">
        <x:f>MAX(K39-K40,0)</x:f>
        <x:v>0</x:v>
      </x:c>
      <x:c r="L41" s="57" t="n">
        <x:f>MAX(L39-L40,0)</x:f>
        <x:v>0</x:v>
      </x:c>
      <x:c r="M41" s="57" t="n">
        <x:f>MAX(M39-M40,0)</x:f>
        <x:v>0</x:v>
      </x:c>
    </x:row>
    <x:row r="42" ht="22" customHeight="1">
      <x:c r="A42" s="21" t="str">
        <x:v>Owner build / improvement hours</x:v>
      </x:c>
      <x:c r="B42" s="81" t="n">
        <x:f>'Scenario Inputs'!E19</x:f>
        <x:v>20</x:v>
      </x:c>
      <x:c r="C42" s="81" t="n">
        <x:f>'Scenario Inputs'!F19</x:f>
        <x:v>5</x:v>
      </x:c>
      <x:c r="D42" s="81" t="n">
        <x:f>'Scenario Inputs'!G19</x:f>
        <x:v>0</x:v>
      </x:c>
      <x:c r="E42" s="81" t="n">
        <x:f>'Scenario Inputs'!H19</x:f>
        <x:v>0</x:v>
      </x:c>
      <x:c r="F42" s="81" t="n">
        <x:f>'Scenario Inputs'!I19</x:f>
        <x:v>0</x:v>
      </x:c>
      <x:c r="G42" s="81" t="n">
        <x:f>'Scenario Inputs'!J19</x:f>
        <x:v>0</x:v>
      </x:c>
      <x:c r="H42" s="81" t="n">
        <x:f>'Scenario Inputs'!K19</x:f>
        <x:v>0</x:v>
      </x:c>
      <x:c r="I42" s="81" t="n">
        <x:f>'Scenario Inputs'!L19</x:f>
        <x:v>0</x:v>
      </x:c>
      <x:c r="J42" s="81" t="n">
        <x:f>'Scenario Inputs'!M19</x:f>
        <x:v>0</x:v>
      </x:c>
      <x:c r="K42" s="81" t="n">
        <x:f>'Scenario Inputs'!N19</x:f>
        <x:v>0</x:v>
      </x:c>
      <x:c r="L42" s="81" t="n">
        <x:f>'Scenario Inputs'!O19</x:f>
        <x:v>0</x:v>
      </x:c>
      <x:c r="M42" s="81" t="n">
        <x:f>'Scenario Inputs'!P19</x:f>
        <x:v>0</x:v>
      </x:c>
    </x:row>
    <x:row r="43" ht="22" customHeight="1">
      <x:c r="A43" s="21" t="str">
        <x:v>Owner sales / partnership hours</x:v>
      </x:c>
      <x:c r="B43" s="81" t="n">
        <x:f>'Scenario Inputs'!E20</x:f>
        <x:v>15</x:v>
      </x:c>
      <x:c r="C43" s="81" t="n">
        <x:f>'Scenario Inputs'!F20</x:f>
        <x:v>12</x:v>
      </x:c>
      <x:c r="D43" s="81" t="n">
        <x:f>'Scenario Inputs'!G20</x:f>
        <x:v>0</x:v>
      </x:c>
      <x:c r="E43" s="81" t="n">
        <x:f>'Scenario Inputs'!H20</x:f>
        <x:v>0</x:v>
      </x:c>
      <x:c r="F43" s="81" t="n">
        <x:f>'Scenario Inputs'!I20</x:f>
        <x:v>0</x:v>
      </x:c>
      <x:c r="G43" s="81" t="n">
        <x:f>'Scenario Inputs'!J20</x:f>
        <x:v>0</x:v>
      </x:c>
      <x:c r="H43" s="81" t="n">
        <x:f>'Scenario Inputs'!K20</x:f>
        <x:v>0</x:v>
      </x:c>
      <x:c r="I43" s="81" t="n">
        <x:f>'Scenario Inputs'!L20</x:f>
        <x:v>0</x:v>
      </x:c>
      <x:c r="J43" s="81" t="n">
        <x:f>'Scenario Inputs'!M20</x:f>
        <x:v>0</x:v>
      </x:c>
      <x:c r="K43" s="81" t="n">
        <x:f>'Scenario Inputs'!N20</x:f>
        <x:v>0</x:v>
      </x:c>
      <x:c r="L43" s="81" t="n">
        <x:f>'Scenario Inputs'!O20</x:f>
        <x:v>0</x:v>
      </x:c>
      <x:c r="M43" s="81" t="n">
        <x:f>'Scenario Inputs'!P20</x:f>
        <x:v>0</x:v>
      </x:c>
    </x:row>
    <x:row r="44" ht="22" customHeight="1">
      <x:c r="A44" s="21" t="str">
        <x:v>Owner admin / oversight hours</x:v>
      </x:c>
      <x:c r="B44" s="81" t="n">
        <x:f>'Scenario Inputs'!E21</x:f>
        <x:v>3</x:v>
      </x:c>
      <x:c r="C44" s="81" t="n">
        <x:f>'Scenario Inputs'!F21</x:f>
        <x:v>3</x:v>
      </x:c>
      <x:c r="D44" s="81" t="n">
        <x:f>'Scenario Inputs'!G21</x:f>
        <x:v>1</x:v>
      </x:c>
      <x:c r="E44" s="81" t="n">
        <x:f>'Scenario Inputs'!H21</x:f>
        <x:v>0</x:v>
      </x:c>
      <x:c r="F44" s="81" t="n">
        <x:f>'Scenario Inputs'!I21</x:f>
        <x:v>0</x:v>
      </x:c>
      <x:c r="G44" s="81" t="n">
        <x:f>'Scenario Inputs'!J21</x:f>
        <x:v>0</x:v>
      </x:c>
      <x:c r="H44" s="81" t="n">
        <x:f>'Scenario Inputs'!K21</x:f>
        <x:v>0</x:v>
      </x:c>
      <x:c r="I44" s="81" t="n">
        <x:f>'Scenario Inputs'!L21</x:f>
        <x:v>0</x:v>
      </x:c>
      <x:c r="J44" s="81" t="n">
        <x:f>'Scenario Inputs'!M21</x:f>
        <x:v>0</x:v>
      </x:c>
      <x:c r="K44" s="81" t="n">
        <x:f>'Scenario Inputs'!N21</x:f>
        <x:v>0</x:v>
      </x:c>
      <x:c r="L44" s="81" t="n">
        <x:f>'Scenario Inputs'!O21</x:f>
        <x:v>0</x:v>
      </x:c>
      <x:c r="M44" s="81" t="n">
        <x:f>'Scenario Inputs'!P21</x:f>
        <x:v>0</x:v>
      </x:c>
    </x:row>
    <x:row r="45" ht="22" customHeight="1">
      <x:c r="A45" s="67" t="str">
        <x:v>TOTAL OWNER HOURS / MONTH</x:v>
      </x:c>
      <x:c r="B45" s="77" t="n">
        <x:f>SUM(B41:B44)</x:f>
        <x:v>38</x:v>
      </x:c>
      <x:c r="C45" s="77" t="n">
        <x:f>SUM(C41:C44)</x:f>
        <x:v>26</x:v>
      </x:c>
      <x:c r="D45" s="77" t="n">
        <x:f>SUM(D41:D44)</x:f>
        <x:v>1</x:v>
      </x:c>
      <x:c r="E45" s="77" t="n">
        <x:f>SUM(E41:E44)</x:f>
        <x:v>0</x:v>
      </x:c>
      <x:c r="F45" s="77" t="n">
        <x:f>SUM(F41:F44)</x:f>
        <x:v>0</x:v>
      </x:c>
      <x:c r="G45" s="77" t="n">
        <x:f>SUM(G41:G44)</x:f>
        <x:v>0</x:v>
      </x:c>
      <x:c r="H45" s="77" t="n">
        <x:f>SUM(H41:H44)</x:f>
        <x:v>0</x:v>
      </x:c>
      <x:c r="I45" s="77" t="n">
        <x:f>SUM(I41:I44)</x:f>
        <x:v>0</x:v>
      </x:c>
      <x:c r="J45" s="77" t="n">
        <x:f>SUM(J41:J44)</x:f>
        <x:v>0</x:v>
      </x:c>
      <x:c r="K45" s="77" t="n">
        <x:f>SUM(K41:K44)</x:f>
        <x:v>0</x:v>
      </x:c>
      <x:c r="L45" s="77" t="n">
        <x:f>SUM(L41:L44)</x:f>
        <x:v>0</x:v>
      </x:c>
      <x:c r="M45" s="77" t="n">
        <x:f>SUM(M41:M44)</x:f>
        <x:v>0</x:v>
      </x:c>
    </x:row>
    <x:row r="46" ht="22" customHeight="1">
      <x:c r="A46" s="21" t="str">
        <x:v>Owner hours / week</x:v>
      </x:c>
      <x:c r="B46" s="57" t="n">
        <x:f>B45*12/52</x:f>
        <x:v>8.76923076923077</x:v>
      </x:c>
      <x:c r="C46" s="57" t="n">
        <x:f>C45*12/52</x:f>
        <x:v>6</x:v>
      </x:c>
      <x:c r="D46" s="57" t="n">
        <x:f>D45*12/52</x:f>
        <x:v>0.23076923076923078</x:v>
      </x:c>
      <x:c r="E46" s="57" t="n">
        <x:f>E45*12/52</x:f>
        <x:v>0</x:v>
      </x:c>
      <x:c r="F46" s="57" t="n">
        <x:f>F45*12/52</x:f>
        <x:v>0</x:v>
      </x:c>
      <x:c r="G46" s="57" t="n">
        <x:f>G45*12/52</x:f>
        <x:v>0</x:v>
      </x:c>
      <x:c r="H46" s="57" t="n">
        <x:f>H45*12/52</x:f>
        <x:v>0</x:v>
      </x:c>
      <x:c r="I46" s="57" t="n">
        <x:f>I45*12/52</x:f>
        <x:v>0</x:v>
      </x:c>
      <x:c r="J46" s="57" t="n">
        <x:f>J45*12/52</x:f>
        <x:v>0</x:v>
      </x:c>
      <x:c r="K46" s="57" t="n">
        <x:f>K45*12/52</x:f>
        <x:v>0</x:v>
      </x:c>
      <x:c r="L46" s="57" t="n">
        <x:f>L45*12/52</x:f>
        <x:v>0</x:v>
      </x:c>
      <x:c r="M46" s="57" t="n">
        <x:f>M45*12/52</x:f>
        <x:v>0</x:v>
      </x:c>
    </x:row>
    <x:row r="47" ht="22" customHeight="1">
      <x:c r="A47" s="21" t="str">
        <x:v>Owner time opportunity cost</x:v>
      </x:c>
      <x:c r="B47" s="59" t="n">
        <x:f>B45*'Inputs'!$C$17</x:f>
        <x:v>1140</x:v>
      </x:c>
      <x:c r="C47" s="59" t="n">
        <x:f>C45*'Inputs'!$C$17</x:f>
        <x:v>780</x:v>
      </x:c>
      <x:c r="D47" s="59" t="n">
        <x:f>D45*'Inputs'!$C$17</x:f>
        <x:v>30</x:v>
      </x:c>
      <x:c r="E47" s="59" t="n">
        <x:f>E45*'Inputs'!$C$17</x:f>
        <x:v>0</x:v>
      </x:c>
      <x:c r="F47" s="59" t="n">
        <x:f>F45*'Inputs'!$C$17</x:f>
        <x:v>0</x:v>
      </x:c>
      <x:c r="G47" s="59" t="n">
        <x:f>G45*'Inputs'!$C$17</x:f>
        <x:v>0</x:v>
      </x:c>
      <x:c r="H47" s="59" t="n">
        <x:f>H45*'Inputs'!$C$17</x:f>
        <x:v>0</x:v>
      </x:c>
      <x:c r="I47" s="59" t="n">
        <x:f>I45*'Inputs'!$C$17</x:f>
        <x:v>0</x:v>
      </x:c>
      <x:c r="J47" s="59" t="n">
        <x:f>J45*'Inputs'!$C$17</x:f>
        <x:v>0</x:v>
      </x:c>
      <x:c r="K47" s="59" t="n">
        <x:f>K45*'Inputs'!$C$17</x:f>
        <x:v>0</x:v>
      </x:c>
      <x:c r="L47" s="59" t="n">
        <x:f>L45*'Inputs'!$C$17</x:f>
        <x:v>0</x:v>
      </x:c>
      <x:c r="M47" s="59" t="n">
        <x:f>M45*'Inputs'!$C$17</x:f>
        <x:v>0</x:v>
      </x:c>
    </x:row>
    <x:row r="48" ht="22" customHeight="1">
      <x:c r="A48" s="67" t="str">
        <x:v>PROFIT AFTER VALUING OWNER TIME</x:v>
      </x:c>
      <x:c r="B48" s="68" t="n">
        <x:f>B35-B47</x:f>
        <x:v>-1225</x:v>
      </x:c>
      <x:c r="C48" s="68" t="n">
        <x:f>C35-C47</x:f>
        <x:v>-579.505</x:v>
      </x:c>
      <x:c r="D48" s="68" t="n">
        <x:f>D35-D47</x:f>
        <x:v>-30</x:v>
      </x:c>
      <x:c r="E48" s="68" t="n">
        <x:f>E35-E47</x:f>
        <x:v>0</x:v>
      </x:c>
      <x:c r="F48" s="68" t="n">
        <x:f>F35-F47</x:f>
        <x:v>0</x:v>
      </x:c>
      <x:c r="G48" s="68" t="n">
        <x:f>G35-G47</x:f>
        <x:v>0</x:v>
      </x:c>
      <x:c r="H48" s="68" t="n">
        <x:f>H35-H47</x:f>
        <x:v>0</x:v>
      </x:c>
      <x:c r="I48" s="68" t="n">
        <x:f>I35-I47</x:f>
        <x:v>0</x:v>
      </x:c>
      <x:c r="J48" s="68" t="n">
        <x:f>J35-J47</x:f>
        <x:v>0</x:v>
      </x:c>
      <x:c r="K48" s="68" t="n">
        <x:f>K35-K47</x:f>
        <x:v>0</x:v>
      </x:c>
      <x:c r="L48" s="68" t="n">
        <x:f>L35-L47</x:f>
        <x:v>0</x:v>
      </x:c>
      <x:c r="M48" s="68" t="n">
        <x:f>M35-M47</x:f>
        <x:v>0</x:v>
      </x:c>
    </x:row>
    <x:row r="49" ht="22" customHeight="1">
      <x:c r="A49" s="21" t="str">
        <x:v>Operating profit per owner hour</x:v>
      </x:c>
      <x:c r="B49" s="59" t="n">
        <x:f>IFERROR(B35/B45,0)</x:f>
        <x:v>-2.236842105263158</x:v>
      </x:c>
      <x:c r="C49" s="59" t="n">
        <x:f>IFERROR(C35/C45,0)</x:f>
        <x:v>7.711346153846154</x:v>
      </x:c>
      <x:c r="D49" s="59" t="n">
        <x:f>IFERROR(D35/D45,0)</x:f>
        <x:v>0</x:v>
      </x:c>
      <x:c r="E49" s="59" t="n">
        <x:f>IFERROR(E35/E45,0)</x:f>
        <x:v>0</x:v>
      </x:c>
      <x:c r="F49" s="59" t="n">
        <x:f>IFERROR(F35/F45,0)</x:f>
        <x:v>0</x:v>
      </x:c>
      <x:c r="G49" s="59" t="n">
        <x:f>IFERROR(G35/G45,0)</x:f>
        <x:v>0</x:v>
      </x:c>
      <x:c r="H49" s="59" t="n">
        <x:f>IFERROR(H35/H45,0)</x:f>
        <x:v>0</x:v>
      </x:c>
      <x:c r="I49" s="59" t="n">
        <x:f>IFERROR(I35/I45,0)</x:f>
        <x:v>0</x:v>
      </x:c>
      <x:c r="J49" s="59" t="n">
        <x:f>IFERROR(J35/J45,0)</x:f>
        <x:v>0</x:v>
      </x:c>
      <x:c r="K49" s="59" t="n">
        <x:f>IFERROR(K35/K45,0)</x:f>
        <x:v>0</x:v>
      </x:c>
      <x:c r="L49" s="59" t="n">
        <x:f>IFERROR(L35/L45,0)</x:f>
        <x:v>0</x:v>
      </x:c>
      <x:c r="M49" s="59" t="n">
        <x:f>IFERROR(M35/M45,0)</x:f>
        <x:v>0</x:v>
      </x:c>
    </x:row>
    <x:row r="50" ht="22" customHeight="1">
      <x:c r="A50" s="21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</x:row>
    <x:row r="51" ht="22" customHeight="1">
      <x:c r="A51" s="67" t="str">
        <x:v>Exit monthly recurring revenue (MRR)</x:v>
      </x:c>
      <x:c r="B51" s="68" t="n">
        <x:f>B10*'Scenario Inputs'!E9+B15*'Scenario Inputs'!E12</x:f>
        <x:v>0</x:v>
      </x:c>
      <x:c r="C51" s="68" t="n">
        <x:f>C10*'Scenario Inputs'!F9+C15*'Scenario Inputs'!F12</x:f>
        <x:v>0</x:v>
      </x:c>
      <x:c r="D51" s="68" t="n">
        <x:f>D10*'Scenario Inputs'!G9+D15*'Scenario Inputs'!G12</x:f>
        <x:v>0</x:v>
      </x:c>
      <x:c r="E51" s="68" t="n">
        <x:f>E10*'Scenario Inputs'!H9+E15*'Scenario Inputs'!H12</x:f>
        <x:v>0</x:v>
      </x:c>
      <x:c r="F51" s="68" t="n">
        <x:f>F10*'Scenario Inputs'!I9+F15*'Scenario Inputs'!I12</x:f>
        <x:v>0</x:v>
      </x:c>
      <x:c r="G51" s="68" t="n">
        <x:f>G10*'Scenario Inputs'!J9+G15*'Scenario Inputs'!J12</x:f>
        <x:v>0</x:v>
      </x:c>
      <x:c r="H51" s="68" t="n">
        <x:f>H10*'Scenario Inputs'!K9+H15*'Scenario Inputs'!K12</x:f>
        <x:v>0</x:v>
      </x:c>
      <x:c r="I51" s="68" t="n">
        <x:f>I10*'Scenario Inputs'!L9+I15*'Scenario Inputs'!L12</x:f>
        <x:v>0</x:v>
      </x:c>
      <x:c r="J51" s="68" t="n">
        <x:f>J10*'Scenario Inputs'!M9+J15*'Scenario Inputs'!M12</x:f>
        <x:v>0</x:v>
      </x:c>
      <x:c r="K51" s="68" t="n">
        <x:f>K10*'Scenario Inputs'!N9+K15*'Scenario Inputs'!N12</x:f>
        <x:v>0</x:v>
      </x:c>
      <x:c r="L51" s="68" t="n">
        <x:f>L10*'Scenario Inputs'!O9+L15*'Scenario Inputs'!O12</x:f>
        <x:v>0</x:v>
      </x:c>
      <x:c r="M51" s="68" t="n">
        <x:f>M10*'Scenario Inputs'!P9+M15*'Scenario Inputs'!P12</x:f>
        <x:v>0</x:v>
      </x:c>
    </x:row>
    <x:row r="52" ht="22" customHeight="1">
      <x:c r="A52" s="21" t="str">
        <x:v>Recurring-only contribution proxy</x:v>
      </x:c>
      <x:c r="B52" s="59" t="n">
        <x:f>B51*(1-('Scenario Inputs'!E25*'Inputs'!$C$7+(1-'Scenario Inputs'!E25)*'Inputs'!$C$5)-'Inputs'!$C$10-'Inputs'!$C$11)-B10*'Inputs'!$C$13-B15*'Inputs'!$C$14-(B10+B15)*(1-'Scenario Inputs'!E25)*'Inputs'!$C$6-B29-B30-B31</x:f>
        <x:v>-55</x:v>
      </x:c>
      <x:c r="C52" s="59" t="n">
        <x:f>C51*(1-('Scenario Inputs'!F25*'Inputs'!$C$7+(1-'Scenario Inputs'!F25)*'Inputs'!$C$5)-'Inputs'!$C$10-'Inputs'!$C$11)-C10*'Inputs'!$C$13-C15*'Inputs'!$C$14-(C10+C15)*(1-'Scenario Inputs'!F25)*'Inputs'!$C$6-C29-C30-C31</x:f>
        <x:v>-45</x:v>
      </x:c>
      <x:c r="D52" s="59" t="n">
        <x:f>D51*(1-('Scenario Inputs'!G25*'Inputs'!$C$7+(1-'Scenario Inputs'!G25)*'Inputs'!$C$5)-'Inputs'!$C$10-'Inputs'!$C$11)-D10*'Inputs'!$C$13-D15*'Inputs'!$C$14-(D10+D15)*(1-'Scenario Inputs'!G25)*'Inputs'!$C$6-D29-D30-D31</x:f>
        <x:v>0</x:v>
      </x:c>
      <x:c r="E52" s="59" t="n">
        <x:f>E51*(1-('Scenario Inputs'!H25*'Inputs'!$C$7+(1-'Scenario Inputs'!H25)*'Inputs'!$C$5)-'Inputs'!$C$10-'Inputs'!$C$11)-E10*'Inputs'!$C$13-E15*'Inputs'!$C$14-(E10+E15)*(1-'Scenario Inputs'!H25)*'Inputs'!$C$6-E29-E30-E31</x:f>
        <x:v>0</x:v>
      </x:c>
      <x:c r="F52" s="59" t="n">
        <x:f>F51*(1-('Scenario Inputs'!I25*'Inputs'!$C$7+(1-'Scenario Inputs'!I25)*'Inputs'!$C$5)-'Inputs'!$C$10-'Inputs'!$C$11)-F10*'Inputs'!$C$13-F15*'Inputs'!$C$14-(F10+F15)*(1-'Scenario Inputs'!I25)*'Inputs'!$C$6-F29-F30-F31</x:f>
        <x:v>0</x:v>
      </x:c>
      <x:c r="G52" s="59" t="n">
        <x:f>G51*(1-('Scenario Inputs'!J25*'Inputs'!$C$7+(1-'Scenario Inputs'!J25)*'Inputs'!$C$5)-'Inputs'!$C$10-'Inputs'!$C$11)-G10*'Inputs'!$C$13-G15*'Inputs'!$C$14-(G10+G15)*(1-'Scenario Inputs'!J25)*'Inputs'!$C$6-G29-G30-G31</x:f>
        <x:v>0</x:v>
      </x:c>
      <x:c r="H52" s="59" t="n">
        <x:f>H51*(1-('Scenario Inputs'!K25*'Inputs'!$C$7+(1-'Scenario Inputs'!K25)*'Inputs'!$C$5)-'Inputs'!$C$10-'Inputs'!$C$11)-H10*'Inputs'!$C$13-H15*'Inputs'!$C$14-(H10+H15)*(1-'Scenario Inputs'!K25)*'Inputs'!$C$6-H29-H30-H31</x:f>
        <x:v>0</x:v>
      </x:c>
      <x:c r="I52" s="59" t="n">
        <x:f>I51*(1-('Scenario Inputs'!L25*'Inputs'!$C$7+(1-'Scenario Inputs'!L25)*'Inputs'!$C$5)-'Inputs'!$C$10-'Inputs'!$C$11)-I10*'Inputs'!$C$13-I15*'Inputs'!$C$14-(I10+I15)*(1-'Scenario Inputs'!L25)*'Inputs'!$C$6-I29-I30-I31</x:f>
        <x:v>0</x:v>
      </x:c>
      <x:c r="J52" s="59" t="n">
        <x:f>J51*(1-('Scenario Inputs'!M25*'Inputs'!$C$7+(1-'Scenario Inputs'!M25)*'Inputs'!$C$5)-'Inputs'!$C$10-'Inputs'!$C$11)-J10*'Inputs'!$C$13-J15*'Inputs'!$C$14-(J10+J15)*(1-'Scenario Inputs'!M25)*'Inputs'!$C$6-J29-J30-J31</x:f>
        <x:v>0</x:v>
      </x:c>
      <x:c r="K52" s="59" t="n">
        <x:f>K51*(1-('Scenario Inputs'!N25*'Inputs'!$C$7+(1-'Scenario Inputs'!N25)*'Inputs'!$C$5)-'Inputs'!$C$10-'Inputs'!$C$11)-K10*'Inputs'!$C$13-K15*'Inputs'!$C$14-(K10+K15)*(1-'Scenario Inputs'!N25)*'Inputs'!$C$6-K29-K30-K31</x:f>
        <x:v>0</x:v>
      </x:c>
      <x:c r="L52" s="59" t="n">
        <x:f>L51*(1-('Scenario Inputs'!O25*'Inputs'!$C$7+(1-'Scenario Inputs'!O25)*'Inputs'!$C$5)-'Inputs'!$C$10-'Inputs'!$C$11)-L10*'Inputs'!$C$13-L15*'Inputs'!$C$14-(L10+L15)*(1-'Scenario Inputs'!O25)*'Inputs'!$C$6-L29-L30-L31</x:f>
        <x:v>0</x:v>
      </x:c>
      <x:c r="M52" s="59" t="n">
        <x:f>M51*(1-('Scenario Inputs'!P25*'Inputs'!$C$7+(1-'Scenario Inputs'!P25)*'Inputs'!$C$5)-'Inputs'!$C$10-'Inputs'!$C$11)-M10*'Inputs'!$C$13-M15*'Inputs'!$C$14-(M10+M15)*(1-'Scenario Inputs'!P25)*'Inputs'!$C$6-M29-M30-M31</x:f>
        <x:v>0</x:v>
      </x:c>
    </x:row>
    <x:row r="53" ht="22" customHeight="1">
      <x:c r="A53" s="21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</x:row>
    <x:row r="54" ht="22" customHeight="1">
      <x:c r="A54" s="21" t="str">
        <x:v>Qualified setup opportunities required</x:v>
      </x:c>
      <x:c r="B54" s="57" t="n">
        <x:f>ROUNDUP(IFERROR(B5/'Scenario Inputs'!E26,0),0)</x:f>
        <x:v>0</x:v>
      </x:c>
      <x:c r="C54" s="57" t="n">
        <x:f>ROUNDUP(IFERROR(C5/'Scenario Inputs'!F26,0),0)</x:f>
        <x:v>50</x:v>
      </x:c>
      <x:c r="D54" s="57" t="n">
        <x:f>ROUNDUP(IFERROR(D5/'Scenario Inputs'!G26,0),0)</x:f>
        <x:v>0</x:v>
      </x:c>
      <x:c r="E54" s="57" t="n">
        <x:f>ROUNDUP(IFERROR(E5/'Scenario Inputs'!H26,0),0)</x:f>
        <x:v>0</x:v>
      </x:c>
      <x:c r="F54" s="57" t="n">
        <x:f>ROUNDUP(IFERROR(F5/'Scenario Inputs'!I26,0),0)</x:f>
        <x:v>0</x:v>
      </x:c>
      <x:c r="G54" s="57" t="n">
        <x:f>ROUNDUP(IFERROR(G5/'Scenario Inputs'!J26,0),0)</x:f>
        <x:v>0</x:v>
      </x:c>
      <x:c r="H54" s="57" t="n">
        <x:f>ROUNDUP(IFERROR(H5/'Scenario Inputs'!K26,0),0)</x:f>
        <x:v>0</x:v>
      </x:c>
      <x:c r="I54" s="57" t="n">
        <x:f>ROUNDUP(IFERROR(I5/'Scenario Inputs'!L26,0),0)</x:f>
        <x:v>0</x:v>
      </x:c>
      <x:c r="J54" s="57" t="n">
        <x:f>ROUNDUP(IFERROR(J5/'Scenario Inputs'!M26,0),0)</x:f>
        <x:v>0</x:v>
      </x:c>
      <x:c r="K54" s="57" t="n">
        <x:f>ROUNDUP(IFERROR(K5/'Scenario Inputs'!N26,0),0)</x:f>
        <x:v>0</x:v>
      </x:c>
      <x:c r="L54" s="57" t="n">
        <x:f>ROUNDUP(IFERROR(L5/'Scenario Inputs'!O26,0),0)</x:f>
        <x:v>0</x:v>
      </x:c>
      <x:c r="M54" s="57" t="n">
        <x:f>ROUNDUP(IFERROR(M5/'Scenario Inputs'!P26,0),0)</x:f>
        <x:v>0</x:v>
      </x:c>
    </x:row>
    <x:row r="55" ht="22" customHeight="1">
      <x:c r="A55" s="21" t="str">
        <x:v>Qualified toolkit visitors required</x:v>
      </x:c>
      <x:c r="B55" s="57" t="n">
        <x:f>ROUNDUP(IFERROR('Scenario Inputs'!E14/'Scenario Inputs'!E27,0),0)</x:f>
        <x:v>0</x:v>
      </x:c>
      <x:c r="C55" s="57" t="n">
        <x:f>ROUNDUP(IFERROR('Scenario Inputs'!F14/'Scenario Inputs'!F27,0),0)</x:f>
        <x:v>0</x:v>
      </x:c>
      <x:c r="D55" s="57" t="n">
        <x:f>ROUNDUP(IFERROR('Scenario Inputs'!G14/'Scenario Inputs'!G27,0),0)</x:f>
        <x:v>0</x:v>
      </x:c>
      <x:c r="E55" s="57" t="n">
        <x:f>ROUNDUP(IFERROR('Scenario Inputs'!H14/'Scenario Inputs'!H27,0),0)</x:f>
        <x:v>0</x:v>
      </x:c>
      <x:c r="F55" s="57" t="n">
        <x:f>ROUNDUP(IFERROR('Scenario Inputs'!I14/'Scenario Inputs'!I27,0),0)</x:f>
        <x:v>0</x:v>
      </x:c>
      <x:c r="G55" s="57" t="n">
        <x:f>ROUNDUP(IFERROR('Scenario Inputs'!J14/'Scenario Inputs'!J27,0),0)</x:f>
        <x:v>0</x:v>
      </x:c>
      <x:c r="H55" s="57" t="n">
        <x:f>ROUNDUP(IFERROR('Scenario Inputs'!K14/'Scenario Inputs'!K27,0),0)</x:f>
        <x:v>0</x:v>
      </x:c>
      <x:c r="I55" s="57" t="n">
        <x:f>ROUNDUP(IFERROR('Scenario Inputs'!L14/'Scenario Inputs'!L27,0),0)</x:f>
        <x:v>0</x:v>
      </x:c>
      <x:c r="J55" s="57" t="n">
        <x:f>ROUNDUP(IFERROR('Scenario Inputs'!M14/'Scenario Inputs'!M27,0),0)</x:f>
        <x:v>0</x:v>
      </x:c>
      <x:c r="K55" s="57" t="n">
        <x:f>ROUNDUP(IFERROR('Scenario Inputs'!N14/'Scenario Inputs'!N27,0),0)</x:f>
        <x:v>0</x:v>
      </x:c>
      <x:c r="L55" s="57" t="n">
        <x:f>ROUNDUP(IFERROR('Scenario Inputs'!O14/'Scenario Inputs'!O27,0),0)</x:f>
        <x:v>0</x:v>
      </x:c>
      <x:c r="M55" s="57" t="n">
        <x:f>ROUNDUP(IFERROR('Scenario Inputs'!P14/'Scenario Inputs'!P27,0),0)</x:f>
        <x:v>0</x:v>
      </x:c>
    </x:row>
    <x:row r="56" ht="22" customHeight="1">
      <x:c r="A56" s="21" t="str">
        <x:v>New monitoring site commitments needed</x:v>
      </x:c>
      <x:c r="B56" s="57" t="n">
        <x:f>B14</x:f>
        <x:v>0</x:v>
      </x:c>
      <x:c r="C56" s="57" t="n">
        <x:f>C14</x:f>
        <x:v>0</x:v>
      </x:c>
      <x:c r="D56" s="57" t="n">
        <x:f>D14</x:f>
        <x:v>0</x:v>
      </x:c>
      <x:c r="E56" s="57" t="n">
        <x:f>E14</x:f>
        <x:v>0</x:v>
      </x:c>
      <x:c r="F56" s="57" t="n">
        <x:f>F14</x:f>
        <x:v>0</x:v>
      </x:c>
      <x:c r="G56" s="57" t="n">
        <x:f>G14</x:f>
        <x:v>0</x:v>
      </x:c>
      <x:c r="H56" s="57" t="n">
        <x:f>H14</x:f>
        <x:v>0</x:v>
      </x:c>
      <x:c r="I56" s="57" t="n">
        <x:f>I14</x:f>
        <x:v>0</x:v>
      </x:c>
      <x:c r="J56" s="57" t="n">
        <x:f>J14</x:f>
        <x:v>0</x:v>
      </x:c>
      <x:c r="K56" s="57" t="n">
        <x:f>K14</x:f>
        <x:v>0</x:v>
      </x:c>
      <x:c r="L56" s="57" t="n">
        <x:f>L14</x:f>
        <x:v>0</x:v>
      </x:c>
      <x:c r="M56" s="57" t="n">
        <x:f>M14</x:f>
        <x:v>0</x:v>
      </x:c>
    </x:row>
    <x:row r="57" ht="22" customHeight="1">
      <x:c r="A57" s="21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</x:row>
    <x:row r="58" ht="22" customHeight="1">
      <x:c r="A58" s="21" t="str">
        <x:v>Illustrative tax cash reserve — not tax owed</x:v>
      </x:c>
      <x:c r="B58" s="59" t="n">
        <x:f>MAX(B35,0)*'Inputs'!$C$18</x:f>
        <x:v>0</x:v>
      </x:c>
      <x:c r="C58" s="59" t="n">
        <x:f>MAX(C35,0)*'Inputs'!$C$18</x:f>
        <x:v>60.1485</x:v>
      </x:c>
      <x:c r="D58" s="59" t="n">
        <x:f>MAX(D35,0)*'Inputs'!$C$18</x:f>
        <x:v>0</x:v>
      </x:c>
      <x:c r="E58" s="59" t="n">
        <x:f>MAX(E35,0)*'Inputs'!$C$18</x:f>
        <x:v>0</x:v>
      </x:c>
      <x:c r="F58" s="59" t="n">
        <x:f>MAX(F35,0)*'Inputs'!$C$18</x:f>
        <x:v>0</x:v>
      </x:c>
      <x:c r="G58" s="59" t="n">
        <x:f>MAX(G35,0)*'Inputs'!$C$18</x:f>
        <x:v>0</x:v>
      </x:c>
      <x:c r="H58" s="59" t="n">
        <x:f>MAX(H35,0)*'Inputs'!$C$18</x:f>
        <x:v>0</x:v>
      </x:c>
      <x:c r="I58" s="59" t="n">
        <x:f>MAX(I35,0)*'Inputs'!$C$18</x:f>
        <x:v>0</x:v>
      </x:c>
      <x:c r="J58" s="59" t="n">
        <x:f>MAX(J35,0)*'Inputs'!$C$18</x:f>
        <x:v>0</x:v>
      </x:c>
      <x:c r="K58" s="59" t="n">
        <x:f>MAX(K35,0)*'Inputs'!$C$18</x:f>
        <x:v>0</x:v>
      </x:c>
      <x:c r="L58" s="59" t="n">
        <x:f>MAX(L35,0)*'Inputs'!$C$18</x:f>
        <x:v>0</x:v>
      </x:c>
      <x:c r="M58" s="59" t="n">
        <x:f>MAX(M35,0)*'Inputs'!$C$18</x:f>
        <x:v>0</x:v>
      </x:c>
    </x:row>
    <x:row r="59" ht="22" customHeight="1">
      <x:c r="A59" s="21" t="str">
        <x:v>Profit less illustrative reserve</x:v>
      </x:c>
      <x:c r="B59" s="59" t="n">
        <x:f>B35-B58</x:f>
        <x:v>-85</x:v>
      </x:c>
      <x:c r="C59" s="59" t="n">
        <x:f>C35-C58</x:f>
        <x:v>140.3465</x:v>
      </x:c>
      <x:c r="D59" s="59" t="n">
        <x:f>D35-D58</x:f>
        <x:v>0</x:v>
      </x:c>
      <x:c r="E59" s="59" t="n">
        <x:f>E35-E58</x:f>
        <x:v>0</x:v>
      </x:c>
      <x:c r="F59" s="59" t="n">
        <x:f>F35-F58</x:f>
        <x:v>0</x:v>
      </x:c>
      <x:c r="G59" s="59" t="n">
        <x:f>G35-G58</x:f>
        <x:v>0</x:v>
      </x:c>
      <x:c r="H59" s="59" t="n">
        <x:f>H35-H58</x:f>
        <x:v>0</x:v>
      </x:c>
      <x:c r="I59" s="59" t="n">
        <x:f>I35-I58</x:f>
        <x:v>0</x:v>
      </x:c>
      <x:c r="J59" s="59" t="n">
        <x:f>J35-J58</x:f>
        <x:v>0</x:v>
      </x:c>
      <x:c r="K59" s="59" t="n">
        <x:f>K35-K58</x:f>
        <x:v>0</x:v>
      </x:c>
      <x:c r="L59" s="59" t="n">
        <x:f>L35-L58</x:f>
        <x:v>0</x:v>
      </x:c>
      <x:c r="M59" s="59" t="n">
        <x:f>M35-M58</x:f>
        <x:v>0</x:v>
      </x:c>
    </x:row>
    <x:row r="60" ht="2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</x:row>
    <x:row r="61" ht="48" customHeight="1">
      <x:c r="A61" s="22" t="str">
        <x:v>Data notes</x:v>
      </x:c>
      <x:c r="B61" s="22" t="str">
        <x:v>Recurring-only contribution proxy = exit MRR less its variable/fee reserves and ALL modeled fixed, marketing and contractor costs. It excludes new setup/kit revenue, owner time and tax; it is not passive take-home pay.</x:v>
      </x:c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</x:row>
  </x:sheetData>
  <x:mergeCells>
    <x:mergeCell ref="A1:M1"/>
    <x:mergeCell ref="A2:M2"/>
    <x:mergeCell ref="B61:M6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2" customHeight="1">
      <x:c r="A1" s="3" t="str">
        <x:v>BASE — 12-MONTH OPERATING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CAD • earned revenue, not bank settlements • no income tax/owner wage deducted from operating profit • scenario is conditional.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54" t="str">
        <x:v>Metric / CAD unless stated</x:v>
      </x:c>
      <x:c r="B4" s="54" t="str">
        <x:v>Month 1</x:v>
      </x:c>
      <x:c r="C4" s="54" t="str">
        <x:v>Month 2</x:v>
      </x:c>
      <x:c r="D4" s="54" t="str">
        <x:v>Month 3</x:v>
      </x:c>
      <x:c r="E4" s="54" t="str">
        <x:v>Month 4</x:v>
      </x:c>
      <x:c r="F4" s="54" t="str">
        <x:v>Month 5</x:v>
      </x:c>
      <x:c r="G4" s="54" t="str">
        <x:v>Month 6</x:v>
      </x:c>
      <x:c r="H4" s="54" t="str">
        <x:v>Month 7</x:v>
      </x:c>
      <x:c r="I4" s="54" t="str">
        <x:v>Month 8</x:v>
      </x:c>
      <x:c r="J4" s="54" t="str">
        <x:v>Month 9</x:v>
      </x:c>
      <x:c r="K4" s="54" t="str">
        <x:v>Month 10</x:v>
      </x:c>
      <x:c r="L4" s="54" t="str">
        <x:v>Month 11</x:v>
      </x:c>
      <x:c r="M4" s="54" t="str">
        <x:v>Month 12</x:v>
      </x:c>
    </x:row>
    <x:row r="5" ht="22" customHeight="1">
      <x:c r="A5" s="21" t="str">
        <x:v>New reporting setups delivered</x:v>
      </x:c>
      <x:c r="B5" s="81" t="n">
        <x:f>'Scenario Inputs'!E29</x:f>
        <x:v>2</x:v>
      </x:c>
      <x:c r="C5" s="81" t="n">
        <x:f>'Scenario Inputs'!F29</x:f>
        <x:v>3</x:v>
      </x:c>
      <x:c r="D5" s="81" t="n">
        <x:f>'Scenario Inputs'!G29</x:f>
        <x:v>4</x:v>
      </x:c>
      <x:c r="E5" s="81" t="n">
        <x:f>'Scenario Inputs'!H29</x:f>
        <x:v>4</x:v>
      </x:c>
      <x:c r="F5" s="81" t="n">
        <x:f>'Scenario Inputs'!I29</x:f>
        <x:v>4</x:v>
      </x:c>
      <x:c r="G5" s="81" t="n">
        <x:f>'Scenario Inputs'!J29</x:f>
        <x:v>4</x:v>
      </x:c>
      <x:c r="H5" s="81" t="n">
        <x:f>'Scenario Inputs'!K29</x:f>
        <x:v>5</x:v>
      </x:c>
      <x:c r="I5" s="81" t="n">
        <x:f>'Scenario Inputs'!L29</x:f>
        <x:v>5</x:v>
      </x:c>
      <x:c r="J5" s="81" t="n">
        <x:f>'Scenario Inputs'!M29</x:f>
        <x:v>5</x:v>
      </x:c>
      <x:c r="K5" s="81" t="n">
        <x:f>'Scenario Inputs'!N29</x:f>
        <x:v>5</x:v>
      </x:c>
      <x:c r="L5" s="81" t="n">
        <x:f>'Scenario Inputs'!O29</x:f>
        <x:v>5</x:v>
      </x:c>
      <x:c r="M5" s="81" t="n">
        <x:f>'Scenario Inputs'!P29</x:f>
        <x:v>5</x:v>
      </x:c>
    </x:row>
    <x:row r="6" ht="22" customHeight="1">
      <x:c r="A6" s="21" t="str">
        <x:v>Average setup price (CAD)</x:v>
      </x:c>
      <x:c r="B6" s="83" t="n">
        <x:f>'Scenario Inputs'!E30</x:f>
        <x:v>299</x:v>
      </x:c>
      <x:c r="C6" s="83" t="n">
        <x:f>'Scenario Inputs'!F30</x:f>
        <x:v>699</x:v>
      </x:c>
      <x:c r="D6" s="83" t="n">
        <x:f>'Scenario Inputs'!G30</x:f>
        <x:v>699</x:v>
      </x:c>
      <x:c r="E6" s="83" t="n">
        <x:f>'Scenario Inputs'!H30</x:f>
        <x:v>699</x:v>
      </x:c>
      <x:c r="F6" s="83" t="n">
        <x:f>'Scenario Inputs'!I30</x:f>
        <x:v>699</x:v>
      </x:c>
      <x:c r="G6" s="83" t="n">
        <x:f>'Scenario Inputs'!J30</x:f>
        <x:v>699</x:v>
      </x:c>
      <x:c r="H6" s="83" t="n">
        <x:f>'Scenario Inputs'!K30</x:f>
        <x:v>699</x:v>
      </x:c>
      <x:c r="I6" s="83" t="n">
        <x:f>'Scenario Inputs'!L30</x:f>
        <x:v>699</x:v>
      </x:c>
      <x:c r="J6" s="83" t="n">
        <x:f>'Scenario Inputs'!M30</x:f>
        <x:v>699</x:v>
      </x:c>
      <x:c r="K6" s="83" t="n">
        <x:f>'Scenario Inputs'!N30</x:f>
        <x:v>699</x:v>
      </x:c>
      <x:c r="L6" s="83" t="n">
        <x:f>'Scenario Inputs'!O30</x:f>
        <x:v>699</x:v>
      </x:c>
      <x:c r="M6" s="83" t="n">
        <x:f>'Scenario Inputs'!P30</x:f>
        <x:v>699</x:v>
      </x:c>
    </x:row>
    <x:row r="7" ht="22" customHeight="1">
      <x:c r="A7" s="21" t="str">
        <x:v>Care clients — opening</x:v>
      </x:c>
      <x:c r="B7" s="57" t="n">
        <x:f>0</x:f>
        <x:v>0</x:v>
      </x:c>
      <x:c r="C7" s="57" t="n">
        <x:f>B10</x:f>
        <x:v>1.2</x:v>
      </x:c>
      <x:c r="D7" s="57" t="n">
        <x:f>C10</x:f>
        <x:v>2.952</x:v>
      </x:c>
      <x:c r="E7" s="57" t="n">
        <x:f>D10</x:f>
        <x:v>5.2339199999999995</x:v>
      </x:c>
      <x:c r="F7" s="57" t="n">
        <x:f>E10</x:f>
        <x:v>7.4245632</x:v>
      </x:c>
      <x:c r="G7" s="57" t="n">
        <x:f>F10</x:f>
        <x:v>9.527580672</x:v>
      </x:c>
      <x:c r="H7" s="57" t="n">
        <x:f>G10</x:f>
        <x:v>11.546477445119999</x:v>
      </x:c>
      <x:c r="I7" s="57" t="n">
        <x:f>H10</x:f>
        <x:v>14.0846183473152</x:v>
      </x:c>
      <x:c r="J7" s="57" t="n">
        <x:f>I10</x:f>
        <x:v>16.52123361342259</x:v>
      </x:c>
      <x:c r="K7" s="57" t="n">
        <x:f>J10</x:f>
        <x:v>18.86038426888569</x:v>
      </x:c>
      <x:c r="L7" s="57" t="n">
        <x:f>K10</x:f>
        <x:v>21.10596889813026</x:v>
      </x:c>
      <x:c r="M7" s="57" t="n">
        <x:f>L10</x:f>
        <x:v>23.26173014220505</x:v>
      </x:c>
    </x:row>
    <x:row r="8" ht="22" customHeight="1">
      <x:c r="A8" s="21" t="str">
        <x:v>Care clients lost to churn</x:v>
      </x:c>
      <x:c r="B8" s="57" t="n">
        <x:f>B7*'Scenario Inputs'!E32</x:f>
        <x:v>0</x:v>
      </x:c>
      <x:c r="C8" s="57" t="n">
        <x:f>C7*'Scenario Inputs'!F32</x:f>
        <x:v>0.048</x:v>
      </x:c>
      <x:c r="D8" s="57" t="n">
        <x:f>D7*'Scenario Inputs'!G32</x:f>
        <x:v>0.11808</x:v>
      </x:c>
      <x:c r="E8" s="57" t="n">
        <x:f>E7*'Scenario Inputs'!H32</x:f>
        <x:v>0.20935679999999998</x:v>
      </x:c>
      <x:c r="F8" s="57" t="n">
        <x:f>F7*'Scenario Inputs'!I32</x:f>
        <x:v>0.29698252799999997</x:v>
      </x:c>
      <x:c r="G8" s="57" t="n">
        <x:f>G7*'Scenario Inputs'!J32</x:f>
        <x:v>0.38110322688</x:v>
      </x:c>
      <x:c r="H8" s="57" t="n">
        <x:f>H7*'Scenario Inputs'!K32</x:f>
        <x:v>0.46185909780479995</x:v>
      </x:c>
      <x:c r="I8" s="57" t="n">
        <x:f>I7*'Scenario Inputs'!L32</x:f>
        <x:v>0.563384733892608</x:v>
      </x:c>
      <x:c r="J8" s="57" t="n">
        <x:f>J7*'Scenario Inputs'!M32</x:f>
        <x:v>0.6608493445369037</x:v>
      </x:c>
      <x:c r="K8" s="57" t="n">
        <x:f>K7*'Scenario Inputs'!N32</x:f>
        <x:v>0.7544153707554275</x:v>
      </x:c>
      <x:c r="L8" s="57" t="n">
        <x:f>L7*'Scenario Inputs'!O32</x:f>
        <x:v>0.8442387559252105</x:v>
      </x:c>
      <x:c r="M8" s="57" t="n">
        <x:f>M7*'Scenario Inputs'!P32</x:f>
        <x:v>0.930469205688202</x:v>
      </x:c>
    </x:row>
    <x:row r="9" ht="22" customHeight="1">
      <x:c r="A9" s="21" t="str">
        <x:v>New care clients</x:v>
      </x:c>
      <x:c r="B9" s="57" t="n">
        <x:f>B5*'Scenario Inputs'!E31</x:f>
        <x:v>1.2</x:v>
      </x:c>
      <x:c r="C9" s="57" t="n">
        <x:f>C5*'Scenario Inputs'!F31</x:f>
        <x:v>1.7999999999999998</x:v>
      </x:c>
      <x:c r="D9" s="57" t="n">
        <x:f>D5*'Scenario Inputs'!G31</x:f>
        <x:v>2.4</x:v>
      </x:c>
      <x:c r="E9" s="57" t="n">
        <x:f>E5*'Scenario Inputs'!H31</x:f>
        <x:v>2.4</x:v>
      </x:c>
      <x:c r="F9" s="57" t="n">
        <x:f>F5*'Scenario Inputs'!I31</x:f>
        <x:v>2.4</x:v>
      </x:c>
      <x:c r="G9" s="57" t="n">
        <x:f>G5*'Scenario Inputs'!J31</x:f>
        <x:v>2.4</x:v>
      </x:c>
      <x:c r="H9" s="57" t="n">
        <x:f>H5*'Scenario Inputs'!K31</x:f>
        <x:v>3</x:v>
      </x:c>
      <x:c r="I9" s="57" t="n">
        <x:f>I5*'Scenario Inputs'!L31</x:f>
        <x:v>3</x:v>
      </x:c>
      <x:c r="J9" s="57" t="n">
        <x:f>J5*'Scenario Inputs'!M31</x:f>
        <x:v>3</x:v>
      </x:c>
      <x:c r="K9" s="57" t="n">
        <x:f>K5*'Scenario Inputs'!N31</x:f>
        <x:v>3</x:v>
      </x:c>
      <x:c r="L9" s="57" t="n">
        <x:f>L5*'Scenario Inputs'!O31</x:f>
        <x:v>3</x:v>
      </x:c>
      <x:c r="M9" s="57" t="n">
        <x:f>M5*'Scenario Inputs'!P31</x:f>
        <x:v>3</x:v>
      </x:c>
    </x:row>
    <x:row r="10" ht="22" customHeight="1">
      <x:c r="A10" s="21" t="str">
        <x:v>Care clients — closing</x:v>
      </x:c>
      <x:c r="B10" s="57" t="n">
        <x:f>B7-B8+B9</x:f>
        <x:v>1.2</x:v>
      </x:c>
      <x:c r="C10" s="57" t="n">
        <x:f>C7-C8+C9</x:f>
        <x:v>2.952</x:v>
      </x:c>
      <x:c r="D10" s="57" t="n">
        <x:f>D7-D8+D9</x:f>
        <x:v>5.2339199999999995</x:v>
      </x:c>
      <x:c r="E10" s="57" t="n">
        <x:f>E7-E8+E9</x:f>
        <x:v>7.4245632</x:v>
      </x:c>
      <x:c r="F10" s="57" t="n">
        <x:f>F7-F8+F9</x:f>
        <x:v>9.527580672</x:v>
      </x:c>
      <x:c r="G10" s="57" t="n">
        <x:f>G7-G8+G9</x:f>
        <x:v>11.546477445119999</x:v>
      </x:c>
      <x:c r="H10" s="57" t="n">
        <x:f>H7-H8+H9</x:f>
        <x:v>14.0846183473152</x:v>
      </x:c>
      <x:c r="I10" s="57" t="n">
        <x:f>I7-I8+I9</x:f>
        <x:v>16.52123361342259</x:v>
      </x:c>
      <x:c r="J10" s="57" t="n">
        <x:f>J7-J8+J9</x:f>
        <x:v>18.86038426888569</x:v>
      </x:c>
      <x:c r="K10" s="57" t="n">
        <x:f>K7-K8+K9</x:f>
        <x:v>21.10596889813026</x:v>
      </x:c>
      <x:c r="L10" s="57" t="n">
        <x:f>L7-L8+L9</x:f>
        <x:v>23.26173014220505</x:v>
      </x:c>
      <x:c r="M10" s="57" t="n">
        <x:f>M7-M8+M9</x:f>
        <x:v>25.33126093651685</x:v>
      </x:c>
    </x:row>
    <x:row r="11" ht="22" customHeight="1">
      <x:c r="A11" s="21" t="str">
        <x:v>Care clients — average billed</x:v>
      </x:c>
      <x:c r="B11" s="57" t="n">
        <x:f>(B7+B10)/2</x:f>
        <x:v>0.6</x:v>
      </x:c>
      <x:c r="C11" s="57" t="n">
        <x:f>(C7+C10)/2</x:f>
        <x:v>2.076</x:v>
      </x:c>
      <x:c r="D11" s="57" t="n">
        <x:f>(D7+D10)/2</x:f>
        <x:v>4.09296</x:v>
      </x:c>
      <x:c r="E11" s="57" t="n">
        <x:f>(E7+E10)/2</x:f>
        <x:v>6.3292416</x:v>
      </x:c>
      <x:c r="F11" s="57" t="n">
        <x:f>(F7+F10)/2</x:f>
        <x:v>8.476071936</x:v>
      </x:c>
      <x:c r="G11" s="57" t="n">
        <x:f>(G7+G10)/2</x:f>
        <x:v>10.537029058559998</x:v>
      </x:c>
      <x:c r="H11" s="57" t="n">
        <x:f>(H7+H10)/2</x:f>
        <x:v>12.815547896217598</x:v>
      </x:c>
      <x:c r="I11" s="57" t="n">
        <x:f>(I7+I10)/2</x:f>
        <x:v>15.302925980368896</x:v>
      </x:c>
      <x:c r="J11" s="57" t="n">
        <x:f>(J7+J10)/2</x:f>
        <x:v>17.69080894115414</x:v>
      </x:c>
      <x:c r="K11" s="57" t="n">
        <x:f>(K7+K10)/2</x:f>
        <x:v>19.983176583507976</x:v>
      </x:c>
      <x:c r="L11" s="57" t="n">
        <x:f>(L7+L10)/2</x:f>
        <x:v>22.183849520167655</x:v>
      </x:c>
      <x:c r="M11" s="57" t="n">
        <x:f>(M7+M10)/2</x:f>
        <x:v>24.296495539360947</x:v>
      </x:c>
    </x:row>
    <x:row r="12" ht="22" customHeight="1">
      <x:c r="A12" s="21" t="str">
        <x:v>Monitored sites — opening</x:v>
      </x:c>
      <x:c r="B12" s="57" t="n">
        <x:f>0</x:f>
        <x:v>0</x:v>
      </x:c>
      <x:c r="C12" s="57" t="n">
        <x:f>B15</x:f>
        <x:v>0</x:v>
      </x:c>
      <x:c r="D12" s="57" t="n">
        <x:f>C15</x:f>
        <x:v>1</x:v>
      </x:c>
      <x:c r="E12" s="57" t="n">
        <x:f>D15</x:f>
        <x:v>2.96</x:v>
      </x:c>
      <x:c r="F12" s="57" t="n">
        <x:f>E15</x:f>
        <x:v>5.8416</x:v>
      </x:c>
      <x:c r="G12" s="57" t="n">
        <x:f>F15</x:f>
        <x:v>8.607935999999999</x:v>
      </x:c>
      <x:c r="H12" s="57" t="n">
        <x:f>G15</x:f>
        <x:v>12.26361856</x:v>
      </x:c>
      <x:c r="I12" s="57" t="n">
        <x:f>H15</x:f>
        <x:v>15.7730738176</x:v>
      </x:c>
      <x:c r="J12" s="57" t="n">
        <x:f>I15</x:f>
        <x:v>20.142150864896003</x:v>
      </x:c>
      <x:c r="K12" s="57" t="n">
        <x:f>J15</x:f>
        <x:v>24.336464830300162</x:v>
      </x:c>
      <x:c r="L12" s="57" t="n">
        <x:f>K15</x:f>
        <x:v>29.363006237088157</x:v>
      </x:c>
      <x:c r="M12" s="57" t="n">
        <x:f>L15</x:f>
        <x:v>34.188485987604636</x:v>
      </x:c>
    </x:row>
    <x:row r="13" ht="22" customHeight="1">
      <x:c r="A13" s="21" t="str">
        <x:v>Sites lost to churn</x:v>
      </x:c>
      <x:c r="B13" s="57" t="n">
        <x:f>B12*'Scenario Inputs'!E35</x:f>
        <x:v>0</x:v>
      </x:c>
      <x:c r="C13" s="57" t="n">
        <x:f>C12*'Scenario Inputs'!F35</x:f>
        <x:v>0</x:v>
      </x:c>
      <x:c r="D13" s="57" t="n">
        <x:f>D12*'Scenario Inputs'!G35</x:f>
        <x:v>0.04</x:v>
      </x:c>
      <x:c r="E13" s="57" t="n">
        <x:f>E12*'Scenario Inputs'!H35</x:f>
        <x:v>0.1184</x:v>
      </x:c>
      <x:c r="F13" s="57" t="n">
        <x:f>F12*'Scenario Inputs'!I35</x:f>
        <x:v>0.23366399999999998</x:v>
      </x:c>
      <x:c r="G13" s="57" t="n">
        <x:f>G12*'Scenario Inputs'!J35</x:f>
        <x:v>0.34431744</x:v>
      </x:c>
      <x:c r="H13" s="57" t="n">
        <x:f>H12*'Scenario Inputs'!K35</x:f>
        <x:v>0.4905447424</x:v>
      </x:c>
      <x:c r="I13" s="57" t="n">
        <x:f>I12*'Scenario Inputs'!L35</x:f>
        <x:v>0.630922952704</x:v>
      </x:c>
      <x:c r="J13" s="57" t="n">
        <x:f>J12*'Scenario Inputs'!M35</x:f>
        <x:v>0.8056860345958401</x:v>
      </x:c>
      <x:c r="K13" s="57" t="n">
        <x:f>K12*'Scenario Inputs'!N35</x:f>
        <x:v>0.9734585932120066</x:v>
      </x:c>
      <x:c r="L13" s="57" t="n">
        <x:f>L12*'Scenario Inputs'!O35</x:f>
        <x:v>1.1745202494835263</x:v>
      </x:c>
      <x:c r="M13" s="57" t="n">
        <x:f>M12*'Scenario Inputs'!P35</x:f>
        <x:v>1.3675394395041855</x:v>
      </x:c>
    </x:row>
    <x:row r="14" ht="22" customHeight="1">
      <x:c r="A14" s="21" t="str">
        <x:v>New monitored sites</x:v>
      </x:c>
      <x:c r="B14" s="81" t="n">
        <x:f>'Scenario Inputs'!E34</x:f>
        <x:v>0</x:v>
      </x:c>
      <x:c r="C14" s="81" t="n">
        <x:f>'Scenario Inputs'!F34</x:f>
        <x:v>1</x:v>
      </x:c>
      <x:c r="D14" s="81" t="n">
        <x:f>'Scenario Inputs'!G34</x:f>
        <x:v>2</x:v>
      </x:c>
      <x:c r="E14" s="81" t="n">
        <x:f>'Scenario Inputs'!H34</x:f>
        <x:v>3</x:v>
      </x:c>
      <x:c r="F14" s="81" t="n">
        <x:f>'Scenario Inputs'!I34</x:f>
        <x:v>3</x:v>
      </x:c>
      <x:c r="G14" s="81" t="n">
        <x:f>'Scenario Inputs'!J34</x:f>
        <x:v>4</x:v>
      </x:c>
      <x:c r="H14" s="81" t="n">
        <x:f>'Scenario Inputs'!K34</x:f>
        <x:v>4</x:v>
      </x:c>
      <x:c r="I14" s="81" t="n">
        <x:f>'Scenario Inputs'!L34</x:f>
        <x:v>5</x:v>
      </x:c>
      <x:c r="J14" s="81" t="n">
        <x:f>'Scenario Inputs'!M34</x:f>
        <x:v>5</x:v>
      </x:c>
      <x:c r="K14" s="81" t="n">
        <x:f>'Scenario Inputs'!N34</x:f>
        <x:v>6</x:v>
      </x:c>
      <x:c r="L14" s="81" t="n">
        <x:f>'Scenario Inputs'!O34</x:f>
        <x:v>6</x:v>
      </x:c>
      <x:c r="M14" s="81" t="n">
        <x:f>'Scenario Inputs'!P34</x:f>
        <x:v>6</x:v>
      </x:c>
    </x:row>
    <x:row r="15" ht="22" customHeight="1">
      <x:c r="A15" s="21" t="str">
        <x:v>Monitored sites — closing</x:v>
      </x:c>
      <x:c r="B15" s="57" t="n">
        <x:f>B12-B13+B14</x:f>
        <x:v>0</x:v>
      </x:c>
      <x:c r="C15" s="57" t="n">
        <x:f>C12-C13+C14</x:f>
        <x:v>1</x:v>
      </x:c>
      <x:c r="D15" s="57" t="n">
        <x:f>D12-D13+D14</x:f>
        <x:v>2.96</x:v>
      </x:c>
      <x:c r="E15" s="57" t="n">
        <x:f>E12-E13+E14</x:f>
        <x:v>5.8416</x:v>
      </x:c>
      <x:c r="F15" s="57" t="n">
        <x:f>F12-F13+F14</x:f>
        <x:v>8.607935999999999</x:v>
      </x:c>
      <x:c r="G15" s="57" t="n">
        <x:f>G12-G13+G14</x:f>
        <x:v>12.26361856</x:v>
      </x:c>
      <x:c r="H15" s="57" t="n">
        <x:f>H12-H13+H14</x:f>
        <x:v>15.7730738176</x:v>
      </x:c>
      <x:c r="I15" s="57" t="n">
        <x:f>I12-I13+I14</x:f>
        <x:v>20.142150864896003</x:v>
      </x:c>
      <x:c r="J15" s="57" t="n">
        <x:f>J12-J13+J14</x:f>
        <x:v>24.336464830300162</x:v>
      </x:c>
      <x:c r="K15" s="57" t="n">
        <x:f>K12-K13+K14</x:f>
        <x:v>29.363006237088157</x:v>
      </x:c>
      <x:c r="L15" s="57" t="n">
        <x:f>L12-L13+L14</x:f>
        <x:v>34.188485987604636</x:v>
      </x:c>
      <x:c r="M15" s="57" t="n">
        <x:f>M12-M13+M14</x:f>
        <x:v>38.82094654810045</x:v>
      </x:c>
    </x:row>
    <x:row r="16" ht="22" customHeight="1">
      <x:c r="A16" s="21" t="str">
        <x:v>Sites — average billed</x:v>
      </x:c>
      <x:c r="B16" s="57" t="n">
        <x:f>(B12+B15)/2</x:f>
        <x:v>0</x:v>
      </x:c>
      <x:c r="C16" s="57" t="n">
        <x:f>(C12+C15)/2</x:f>
        <x:v>0.5</x:v>
      </x:c>
      <x:c r="D16" s="57" t="n">
        <x:f>(D12+D15)/2</x:f>
        <x:v>1.98</x:v>
      </x:c>
      <x:c r="E16" s="57" t="n">
        <x:f>(E12+E15)/2</x:f>
        <x:v>4.4008</x:v>
      </x:c>
      <x:c r="F16" s="57" t="n">
        <x:f>(F12+F15)/2</x:f>
        <x:v>7.224767999999999</x:v>
      </x:c>
      <x:c r="G16" s="57" t="n">
        <x:f>(G12+G15)/2</x:f>
        <x:v>10.43577728</x:v>
      </x:c>
      <x:c r="H16" s="57" t="n">
        <x:f>(H12+H15)/2</x:f>
        <x:v>14.018346188799999</x:v>
      </x:c>
      <x:c r="I16" s="57" t="n">
        <x:f>(I12+I15)/2</x:f>
        <x:v>17.957612341248</x:v>
      </x:c>
      <x:c r="J16" s="57" t="n">
        <x:f>(J12+J15)/2</x:f>
        <x:v>22.239307847598084</x:v>
      </x:c>
      <x:c r="K16" s="57" t="n">
        <x:f>(K12+K15)/2</x:f>
        <x:v>26.849735533694158</x:v>
      </x:c>
      <x:c r="L16" s="57" t="n">
        <x:f>(L12+L15)/2</x:f>
        <x:v>31.775746112346397</x:v>
      </x:c>
      <x:c r="M16" s="57" t="n">
        <x:f>(M12+M15)/2</x:f>
        <x:v>36.504716267852544</x:v>
      </x:c>
    </x:row>
    <x:row r="17" ht="22" customHeight="1">
      <x:c r="A17" s="21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 ht="22" customHeight="1">
      <x:c r="A18" s="21" t="str">
        <x:v>Reporting setup revenue</x:v>
      </x:c>
      <x:c r="B18" s="59" t="n">
        <x:f>B5*B6</x:f>
        <x:v>598</x:v>
      </x:c>
      <x:c r="C18" s="59" t="n">
        <x:f>C5*C6</x:f>
        <x:v>2097</x:v>
      </x:c>
      <x:c r="D18" s="59" t="n">
        <x:f>D5*D6</x:f>
        <x:v>2796</x:v>
      </x:c>
      <x:c r="E18" s="59" t="n">
        <x:f>E5*E6</x:f>
        <x:v>2796</x:v>
      </x:c>
      <x:c r="F18" s="59" t="n">
        <x:f>F5*F6</x:f>
        <x:v>2796</x:v>
      </x:c>
      <x:c r="G18" s="59" t="n">
        <x:f>G5*G6</x:f>
        <x:v>2796</x:v>
      </x:c>
      <x:c r="H18" s="59" t="n">
        <x:f>H5*H6</x:f>
        <x:v>3495</x:v>
      </x:c>
      <x:c r="I18" s="59" t="n">
        <x:f>I5*I6</x:f>
        <x:v>3495</x:v>
      </x:c>
      <x:c r="J18" s="59" t="n">
        <x:f>J5*J6</x:f>
        <x:v>3495</x:v>
      </x:c>
      <x:c r="K18" s="59" t="n">
        <x:f>K5*K6</x:f>
        <x:v>3495</x:v>
      </x:c>
      <x:c r="L18" s="59" t="n">
        <x:f>L5*L6</x:f>
        <x:v>3495</x:v>
      </x:c>
      <x:c r="M18" s="59" t="n">
        <x:f>M5*M6</x:f>
        <x:v>3495</x:v>
      </x:c>
    </x:row>
    <x:row r="19" ht="22" customHeight="1">
      <x:c r="A19" s="21" t="str">
        <x:v>Care subscription revenue</x:v>
      </x:c>
      <x:c r="B19" s="59" t="n">
        <x:f>B11*'Scenario Inputs'!E33</x:f>
        <x:v>89.39999999999999</x:v>
      </x:c>
      <x:c r="C19" s="59" t="n">
        <x:f>C11*'Scenario Inputs'!F33</x:f>
        <x:v>309.324</x:v>
      </x:c>
      <x:c r="D19" s="59" t="n">
        <x:f>D11*'Scenario Inputs'!G33</x:f>
        <x:v>609.85104</x:v>
      </x:c>
      <x:c r="E19" s="59" t="n">
        <x:f>E11*'Scenario Inputs'!H33</x:f>
        <x:v>943.0569983999999</x:v>
      </x:c>
      <x:c r="F19" s="59" t="n">
        <x:f>F11*'Scenario Inputs'!I33</x:f>
        <x:v>1262.934718464</x:v>
      </x:c>
      <x:c r="G19" s="59" t="n">
        <x:f>G11*'Scenario Inputs'!J33</x:f>
        <x:v>1570.0173297254398</x:v>
      </x:c>
      <x:c r="H19" s="59" t="n">
        <x:f>H11*'Scenario Inputs'!K33</x:f>
        <x:v>1909.516636536422</x:v>
      </x:c>
      <x:c r="I19" s="59" t="n">
        <x:f>I11*'Scenario Inputs'!L33</x:f>
        <x:v>2280.1359710749653</x:v>
      </x:c>
      <x:c r="J19" s="59" t="n">
        <x:f>J11*'Scenario Inputs'!M33</x:f>
        <x:v>2635.9305322319665</x:v>
      </x:c>
      <x:c r="K19" s="59" t="n">
        <x:f>K11*'Scenario Inputs'!N33</x:f>
        <x:v>2977.4933109426884</x:v>
      </x:c>
      <x:c r="L19" s="59" t="n">
        <x:f>L11*'Scenario Inputs'!O33</x:f>
        <x:v>3305.3935785049807</x:v>
      </x:c>
      <x:c r="M19" s="59" t="n">
        <x:f>M11*'Scenario Inputs'!P33</x:f>
        <x:v>3620.177835364781</x:v>
      </x:c>
    </x:row>
    <x:row r="20" ht="22" customHeight="1">
      <x:c r="A20" s="21" t="str">
        <x:v>Monitor setup revenue</x:v>
      </x:c>
      <x:c r="B20" s="59" t="n">
        <x:f>B14*'Scenario Inputs'!E37</x:f>
        <x:v>0</x:v>
      </x:c>
      <x:c r="C20" s="59" t="n">
        <x:f>C14*'Scenario Inputs'!F37</x:f>
        <x:v>149</x:v>
      </x:c>
      <x:c r="D20" s="59" t="n">
        <x:f>D14*'Scenario Inputs'!G37</x:f>
        <x:v>298</x:v>
      </x:c>
      <x:c r="E20" s="59" t="n">
        <x:f>E14*'Scenario Inputs'!H37</x:f>
        <x:v>447</x:v>
      </x:c>
      <x:c r="F20" s="59" t="n">
        <x:f>F14*'Scenario Inputs'!I37</x:f>
        <x:v>447</x:v>
      </x:c>
      <x:c r="G20" s="59" t="n">
        <x:f>G14*'Scenario Inputs'!J37</x:f>
        <x:v>596</x:v>
      </x:c>
      <x:c r="H20" s="59" t="n">
        <x:f>H14*'Scenario Inputs'!K37</x:f>
        <x:v>596</x:v>
      </x:c>
      <x:c r="I20" s="59" t="n">
        <x:f>I14*'Scenario Inputs'!L37</x:f>
        <x:v>745</x:v>
      </x:c>
      <x:c r="J20" s="59" t="n">
        <x:f>J14*'Scenario Inputs'!M37</x:f>
        <x:v>745</x:v>
      </x:c>
      <x:c r="K20" s="59" t="n">
        <x:f>K14*'Scenario Inputs'!N37</x:f>
        <x:v>894</x:v>
      </x:c>
      <x:c r="L20" s="59" t="n">
        <x:f>L14*'Scenario Inputs'!O37</x:f>
        <x:v>894</x:v>
      </x:c>
      <x:c r="M20" s="59" t="n">
        <x:f>M14*'Scenario Inputs'!P37</x:f>
        <x:v>894</x:v>
      </x:c>
    </x:row>
    <x:row r="21" ht="22" customHeight="1">
      <x:c r="A21" s="21" t="str">
        <x:v>Monitoring revenue</x:v>
      </x:c>
      <x:c r="B21" s="59" t="n">
        <x:f>B16*'Scenario Inputs'!E36</x:f>
        <x:v>0</x:v>
      </x:c>
      <x:c r="C21" s="59" t="n">
        <x:f>C16*'Scenario Inputs'!F36</x:f>
        <x:v>39.5</x:v>
      </x:c>
      <x:c r="D21" s="59" t="n">
        <x:f>D16*'Scenario Inputs'!G36</x:f>
        <x:v>156.42</x:v>
      </x:c>
      <x:c r="E21" s="59" t="n">
        <x:f>E16*'Scenario Inputs'!H36</x:f>
        <x:v>347.6632</x:v>
      </x:c>
      <x:c r="F21" s="59" t="n">
        <x:f>F16*'Scenario Inputs'!I36</x:f>
        <x:v>570.756672</x:v>
      </x:c>
      <x:c r="G21" s="59" t="n">
        <x:f>G16*'Scenario Inputs'!J36</x:f>
        <x:v>824.42640512</x:v>
      </x:c>
      <x:c r="H21" s="59" t="n">
        <x:f>H16*'Scenario Inputs'!K36</x:f>
        <x:v>1107.4493489151998</x:v>
      </x:c>
      <x:c r="I21" s="59" t="n">
        <x:f>I16*'Scenario Inputs'!L36</x:f>
        <x:v>1418.6513749585922</x:v>
      </x:c>
      <x:c r="J21" s="59" t="n">
        <x:f>J16*'Scenario Inputs'!M36</x:f>
        <x:v>1756.9053199602486</x:v>
      </x:c>
      <x:c r="K21" s="59" t="n">
        <x:f>K16*'Scenario Inputs'!N36</x:f>
        <x:v>2121.1291071618384</x:v>
      </x:c>
      <x:c r="L21" s="59" t="n">
        <x:f>L16*'Scenario Inputs'!O36</x:f>
        <x:v>2510.2839428753655</x:v>
      </x:c>
      <x:c r="M21" s="59" t="n">
        <x:f>M16*'Scenario Inputs'!P36</x:f>
        <x:v>2883.872585160351</x:v>
      </x:c>
    </x:row>
    <x:row r="22" ht="22" customHeight="1">
      <x:c r="A22" s="21" t="str">
        <x:v>Toolkit revenue</x:v>
      </x:c>
      <x:c r="B22" s="59" t="n">
        <x:f>'Scenario Inputs'!E38*'Scenario Inputs'!E39</x:f>
        <x:v>0</x:v>
      </x:c>
      <x:c r="C22" s="59" t="n">
        <x:f>'Scenario Inputs'!F38*'Scenario Inputs'!F39</x:f>
        <x:v>98</x:v>
      </x:c>
      <x:c r="D22" s="59" t="n">
        <x:f>'Scenario Inputs'!G38*'Scenario Inputs'!G39</x:f>
        <x:v>245</x:v>
      </x:c>
      <x:c r="E22" s="59" t="n">
        <x:f>'Scenario Inputs'!H38*'Scenario Inputs'!H39</x:f>
        <x:v>392</x:v>
      </x:c>
      <x:c r="F22" s="59" t="n">
        <x:f>'Scenario Inputs'!I38*'Scenario Inputs'!I39</x:f>
        <x:v>490</x:v>
      </x:c>
      <x:c r="G22" s="59" t="n">
        <x:f>'Scenario Inputs'!J38*'Scenario Inputs'!J39</x:f>
        <x:v>588</x:v>
      </x:c>
      <x:c r="H22" s="59" t="n">
        <x:f>'Scenario Inputs'!K38*'Scenario Inputs'!K39</x:f>
        <x:v>735</x:v>
      </x:c>
      <x:c r="I22" s="59" t="n">
        <x:f>'Scenario Inputs'!L38*'Scenario Inputs'!L39</x:f>
        <x:v>882</x:v>
      </x:c>
      <x:c r="J22" s="59" t="n">
        <x:f>'Scenario Inputs'!M38*'Scenario Inputs'!M39</x:f>
        <x:v>980</x:v>
      </x:c>
      <x:c r="K22" s="59" t="n">
        <x:f>'Scenario Inputs'!N38*'Scenario Inputs'!N39</x:f>
        <x:v>1225</x:v>
      </x:c>
      <x:c r="L22" s="59" t="n">
        <x:f>'Scenario Inputs'!O38*'Scenario Inputs'!O39</x:f>
        <x:v>1470</x:v>
      </x:c>
      <x:c r="M22" s="59" t="n">
        <x:f>'Scenario Inputs'!P38*'Scenario Inputs'!P39</x:f>
        <x:v>1715</x:v>
      </x:c>
    </x:row>
    <x:row r="23" ht="22" customHeight="1">
      <x:c r="A23" s="67" t="str">
        <x:v>TOTAL EARNED REVENUE</x:v>
      </x:c>
      <x:c r="B23" s="68" t="n">
        <x:f>SUM(B18:B22)</x:f>
        <x:v>687.4</x:v>
      </x:c>
      <x:c r="C23" s="68" t="n">
        <x:f>SUM(C18:C22)</x:f>
        <x:v>2692.824</x:v>
      </x:c>
      <x:c r="D23" s="68" t="n">
        <x:f>SUM(D18:D22)</x:f>
        <x:v>4105.27104</x:v>
      </x:c>
      <x:c r="E23" s="68" t="n">
        <x:f>SUM(E18:E22)</x:f>
        <x:v>4925.720198399999</x:v>
      </x:c>
      <x:c r="F23" s="68" t="n">
        <x:f>SUM(F18:F22)</x:f>
        <x:v>5566.6913904640005</x:v>
      </x:c>
      <x:c r="G23" s="68" t="n">
        <x:f>SUM(G18:G22)</x:f>
        <x:v>6374.443734845439</x:v>
      </x:c>
      <x:c r="H23" s="68" t="n">
        <x:f>SUM(H18:H22)</x:f>
        <x:v>7842.965985451622</x:v>
      </x:c>
      <x:c r="I23" s="68" t="n">
        <x:f>SUM(I18:I22)</x:f>
        <x:v>8820.787346033558</x:v>
      </x:c>
      <x:c r="J23" s="68" t="n">
        <x:f>SUM(J18:J22)</x:f>
        <x:v>9612.835852192216</x:v>
      </x:c>
      <x:c r="K23" s="68" t="n">
        <x:f>SUM(K18:K22)</x:f>
        <x:v>10712.622418104527</x:v>
      </x:c>
      <x:c r="L23" s="68" t="n">
        <x:f>SUM(L18:L22)</x:f>
        <x:v>11674.677521380347</x:v>
      </x:c>
      <x:c r="M23" s="68" t="n">
        <x:f>SUM(M18:M22)</x:f>
        <x:v>12608.05042052513</x:v>
      </x:c>
    </x:row>
    <x:row r="24" ht="22" customHeight="1">
      <x:c r="A24" s="21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</x:row>
    <x:row r="25" ht="22" customHeight="1">
      <x:c r="A25" s="21" t="str">
        <x:v>Platform and payment fees</x:v>
      </x:c>
      <x:c r="B25" s="59" t="n">
        <x:f>SUM(B18:B21)*('Scenario Inputs'!E49*'Inputs'!$C$7+(1-'Scenario Inputs'!E49)*'Inputs'!$C$5)+(B5+B11+B16+B14)*(1-'Scenario Inputs'!E49)*'Inputs'!$C$6+B22*'Inputs'!$C$8+'Scenario Inputs'!E38*'Inputs'!$C$9</x:f>
        <x:v>65.693</x:v>
      </x:c>
      <x:c r="C25" s="59" t="n">
        <x:f>SUM(C18:C21)*('Scenario Inputs'!F49*'Inputs'!$C$7+(1-'Scenario Inputs'!F49)*'Inputs'!$C$5)+(C5+C11+C16+C14)*(1-'Scenario Inputs'!F49)*'Inputs'!$C$6+C22*'Inputs'!$C$8+'Scenario Inputs'!F38*'Inputs'!$C$9</x:f>
        <x:v>263.69468</x:v>
      </x:c>
      <x:c r="D25" s="59" t="n">
        <x:f>SUM(D18:D21)*('Scenario Inputs'!G49*'Inputs'!$C$7+(1-'Scenario Inputs'!G49)*'Inputs'!$C$5)+(D5+D11+D16+D14)*(1-'Scenario Inputs'!G49)*'Inputs'!$C$6+D22*'Inputs'!$C$8+'Scenario Inputs'!G38*'Inputs'!$C$9</x:f>
        <x:v>409.0366928</x:v>
      </x:c>
      <x:c r="E25" s="59" t="n">
        <x:f>SUM(E18:E21)*('Scenario Inputs'!H49*'Inputs'!$C$7+(1-'Scenario Inputs'!H49)*'Inputs'!$C$5)+(E5+E11+E16+E14)*(1-'Scenario Inputs'!H49)*'Inputs'!$C$6+E22*'Inputs'!$C$8+'Scenario Inputs'!H38*'Inputs'!$C$9</x:f>
        <x:v>498.16292508799995</x:v>
      </x:c>
      <x:c r="F25" s="59" t="n">
        <x:f>SUM(F18:F21)*('Scenario Inputs'!I49*'Inputs'!$C$7+(1-'Scenario Inputs'!I49)*'Inputs'!$C$5)+(F5+F11+F16+F14)*(1-'Scenario Inputs'!I49)*'Inputs'!$C$6+F22*'Inputs'!$C$8+'Scenario Inputs'!I38*'Inputs'!$C$9</x:f>
        <x:v>566.6908080844801</x:v>
      </x:c>
      <x:c r="G25" s="59" t="n">
        <x:f>SUM(G18:G21)*('Scenario Inputs'!J49*'Inputs'!$C$7+(1-'Scenario Inputs'!J49)*'Inputs'!$C$5)+(G5+G11+G16+G14)*(1-'Scenario Inputs'!J49)*'Inputs'!$C$6+G22*'Inputs'!$C$8+'Scenario Inputs'!J38*'Inputs'!$C$9</x:f>
        <x:v>651.2580757611008</x:v>
      </x:c>
      <x:c r="H25" s="59" t="n">
        <x:f>SUM(H18:H21)*('Scenario Inputs'!K49*'Inputs'!$C$7+(1-'Scenario Inputs'!K49)*'Inputs'!$C$5)+(H5+H11+H16+H14)*(1-'Scenario Inputs'!K49)*'Inputs'!$C$6+H22*'Inputs'!$C$8+'Scenario Inputs'!K38*'Inputs'!$C$9</x:f>
        <x:v>802.1318527306568</x:v>
      </x:c>
      <x:c r="I25" s="59" t="n">
        <x:f>SUM(I18:I21)*('Scenario Inputs'!L49*'Inputs'!$C$7+(1-'Scenario Inputs'!L49)*'Inputs'!$C$5)+(I5+I11+I16+I14)*(1-'Scenario Inputs'!L49)*'Inputs'!$C$6+I22*'Inputs'!$C$8+'Scenario Inputs'!L38*'Inputs'!$C$9</x:f>
        <x:v>906.4738786214305</x:v>
      </x:c>
      <x:c r="J25" s="59" t="n">
        <x:f>SUM(J18:J21)*('Scenario Inputs'!M49*'Inputs'!$C$7+(1-'Scenario Inputs'!M49)*'Inputs'!$C$5)+(J5+J11+J16+J14)*(1-'Scenario Inputs'!M49)*'Inputs'!$C$6+J22*'Inputs'!$C$8+'Scenario Inputs'!M38*'Inputs'!$C$9</x:f>
        <x:v>989.6089234765734</x:v>
      </x:c>
      <x:c r="K25" s="59" t="n">
        <x:f>SUM(K18:K21)*('Scenario Inputs'!N49*'Inputs'!$C$7+(1-'Scenario Inputs'!N49)*'Inputs'!$C$5)+(K5+K11+K16+K14)*(1-'Scenario Inputs'!N49)*'Inputs'!$C$6+K22*'Inputs'!$C$8+'Scenario Inputs'!N38*'Inputs'!$C$9</x:f>
        <x:v>1112.4990665375103</x:v>
      </x:c>
      <x:c r="L25" s="59" t="n">
        <x:f>SUM(L18:L21)*('Scenario Inputs'!O49*'Inputs'!$C$7+(1-'Scenario Inputs'!O49)*'Inputs'!$C$5)+(L5+L11+L16+L14)*(1-'Scenario Inputs'!O49)*'Inputs'!$C$6+L22*'Inputs'!$C$8+'Scenario Inputs'!O38*'Inputs'!$C$9</x:f>
        <x:v>1222.1883038760102</x:v>
      </x:c>
      <x:c r="M25" s="59" t="n">
        <x:f>SUM(M18:M21)*('Scenario Inputs'!P49*'Inputs'!$C$7+(1-'Scenario Inputs'!P49)*'Inputs'!$C$5)+(M5+M11+M16+M14)*(1-'Scenario Inputs'!P49)*'Inputs'!$C$6+M22*'Inputs'!$C$8+'Scenario Inputs'!P38*'Inputs'!$C$9</x:f>
        <x:v>1329.1099717209695</x:v>
      </x:c>
    </x:row>
    <x:row r="26" ht="22" customHeight="1">
      <x:c r="A26" s="21" t="str">
        <x:v>Refund/rework allowance</x:v>
      </x:c>
      <x:c r="B26" s="59" t="n">
        <x:f>B23*'Inputs'!$C$10</x:f>
        <x:v>20.622</x:v>
      </x:c>
      <x:c r="C26" s="59" t="n">
        <x:f>C23*'Inputs'!$C$10</x:f>
        <x:v>80.78472</x:v>
      </x:c>
      <x:c r="D26" s="59" t="n">
        <x:f>D23*'Inputs'!$C$10</x:f>
        <x:v>123.15813119999999</x:v>
      </x:c>
      <x:c r="E26" s="59" t="n">
        <x:f>E23*'Inputs'!$C$10</x:f>
        <x:v>147.771605952</x:v>
      </x:c>
      <x:c r="F26" s="59" t="n">
        <x:f>F23*'Inputs'!$C$10</x:f>
        <x:v>167.00074171392</x:v>
      </x:c>
      <x:c r="G26" s="59" t="n">
        <x:f>G23*'Inputs'!$C$10</x:f>
        <x:v>191.23331204536316</x:v>
      </x:c>
      <x:c r="H26" s="59" t="n">
        <x:f>H23*'Inputs'!$C$10</x:f>
        <x:v>235.28897956354865</x:v>
      </x:c>
      <x:c r="I26" s="59" t="n">
        <x:f>I23*'Inputs'!$C$10</x:f>
        <x:v>264.62362038100673</x:v>
      </x:c>
      <x:c r="J26" s="59" t="n">
        <x:f>J23*'Inputs'!$C$10</x:f>
        <x:v>288.3850755657665</x:v>
      </x:c>
      <x:c r="K26" s="59" t="n">
        <x:f>K23*'Inputs'!$C$10</x:f>
        <x:v>321.3786725431358</x:v>
      </x:c>
      <x:c r="L26" s="59" t="n">
        <x:f>L23*'Inputs'!$C$10</x:f>
        <x:v>350.2403256414104</x:v>
      </x:c>
      <x:c r="M26" s="59" t="n">
        <x:f>M23*'Inputs'!$C$10</x:f>
        <x:v>378.2415126157539</x:v>
      </x:c>
    </x:row>
    <x:row r="27" ht="22" customHeight="1">
      <x:c r="A27" s="21" t="str">
        <x:v>FX / payment-risk allowance</x:v>
      </x:c>
      <x:c r="B27" s="59" t="n">
        <x:f>B23*'Inputs'!$C$11</x:f>
        <x:v>13.748</x:v>
      </x:c>
      <x:c r="C27" s="59" t="n">
        <x:f>C23*'Inputs'!$C$11</x:f>
        <x:v>53.856480000000005</x:v>
      </x:c>
      <x:c r="D27" s="59" t="n">
        <x:f>D23*'Inputs'!$C$11</x:f>
        <x:v>82.10542079999999</x:v>
      </x:c>
      <x:c r="E27" s="59" t="n">
        <x:f>E23*'Inputs'!$C$11</x:f>
        <x:v>98.514403968</x:v>
      </x:c>
      <x:c r="F27" s="59" t="n">
        <x:f>F23*'Inputs'!$C$11</x:f>
        <x:v>111.33382780928001</x:v>
      </x:c>
      <x:c r="G27" s="59" t="n">
        <x:f>G23*'Inputs'!$C$11</x:f>
        <x:v>127.4888746969088</x:v>
      </x:c>
      <x:c r="H27" s="59" t="n">
        <x:f>H23*'Inputs'!$C$11</x:f>
        <x:v>156.85931970903243</x:v>
      </x:c>
      <x:c r="I27" s="59" t="n">
        <x:f>I23*'Inputs'!$C$11</x:f>
        <x:v>176.41574692067115</x:v>
      </x:c>
      <x:c r="J27" s="59" t="n">
        <x:f>J23*'Inputs'!$C$11</x:f>
        <x:v>192.25671704384433</x:v>
      </x:c>
      <x:c r="K27" s="59" t="n">
        <x:f>K23*'Inputs'!$C$11</x:f>
        <x:v>214.25244836209055</x:v>
      </x:c>
      <x:c r="L27" s="59" t="n">
        <x:f>L23*'Inputs'!$C$11</x:f>
        <x:v>233.49355042760695</x:v>
      </x:c>
      <x:c r="M27" s="59" t="n">
        <x:f>M23*'Inputs'!$C$11</x:f>
        <x:v>252.16100841050263</x:v>
      </x:c>
    </x:row>
    <x:row r="28" ht="22" customHeight="1">
      <x:c r="A28" s="21" t="str">
        <x:v>Variable delivery / hosting costs</x:v>
      </x:c>
      <x:c r="B28" s="59" t="n">
        <x:f>B5*'Inputs'!$C$12+B11*'Inputs'!$C$13+B16*'Inputs'!$C$14+'Scenario Inputs'!E38*'Inputs'!$C$15</x:f>
        <x:v>27.2</x:v>
      </x:c>
      <x:c r="C28" s="59" t="n">
        <x:f>C5*'Inputs'!$C$12+C11*'Inputs'!$C$13+C16*'Inputs'!$C$14+'Scenario Inputs'!F38*'Inputs'!$C$15</x:f>
        <x:v>61.912</x:v>
      </x:c>
      <x:c r="D28" s="59" t="n">
        <x:f>D5*'Inputs'!$C$12+D11*'Inputs'!$C$13+D16*'Inputs'!$C$14+'Scenario Inputs'!G38*'Inputs'!$C$15</x:f>
        <x:v>113.91552</x:v>
      </x:c>
      <x:c r="E28" s="59" t="n">
        <x:f>E5*'Inputs'!$C$12+E11*'Inputs'!$C$13+E16*'Inputs'!$C$14+'Scenario Inputs'!H38*'Inputs'!$C$15</x:f>
        <x:v>167.9588992</x:v>
      </x:c>
      <x:c r="F28" s="59" t="n">
        <x:f>F5*'Inputs'!$C$12+F11*'Inputs'!$C$13+F16*'Inputs'!$C$14+'Scenario Inputs'!I38*'Inputs'!$C$15</x:f>
        <x:v>223.96054323200002</x:v>
      </x:c>
      <x:c r="G28" s="59" t="n">
        <x:f>G5*'Inputs'!$C$12+G11*'Inputs'!$C$13+G16*'Inputs'!$C$14+'Scenario Inputs'!J38*'Inputs'!$C$15</x:f>
        <x:v>282.80212150271996</x:v>
      </x:c>
      <x:c r="H28" s="59" t="n">
        <x:f>H5*'Inputs'!$C$12+H11*'Inputs'!$C$13+H16*'Inputs'!$C$14+'Scenario Inputs'!K38*'Inputs'!$C$15</x:f>
        <x:v>358.97003664261115</x:v>
      </x:c>
      <x:c r="I28" s="59" t="n">
        <x:f>I5*'Inputs'!$C$12+I11*'Inputs'!$C$13+I16*'Inputs'!$C$14+'Scenario Inputs'!L38*'Inputs'!$C$15</x:f>
        <x:v>431.2112351769067</x:v>
      </x:c>
      <x:c r="J28" s="59" t="n">
        <x:f>J5*'Inputs'!$C$12+J11*'Inputs'!$C$13+J16*'Inputs'!$C$14+'Scenario Inputs'!M38*'Inputs'!$C$15</x:f>
        <x:v>504.6827857698305</x:v>
      </x:c>
      <x:c r="K28" s="59" t="n">
        <x:f>K5*'Inputs'!$C$12+K11*'Inputs'!$C$13+K16*'Inputs'!$C$14+'Scenario Inputs'!N38*'Inputs'!$C$15</x:f>
        <x:v>583.2954743390374</x:v>
      </x:c>
      <x:c r="L28" s="59" t="n">
        <x:f>L5*'Inputs'!$C$12+L11*'Inputs'!$C$13+L16*'Inputs'!$C$14+'Scenario Inputs'!O38*'Inputs'!$C$15</x:f>
        <x:v>663.9636553654758</x:v>
      </x:c>
      <x:c r="M28" s="59" t="n">
        <x:f>M5*'Inputs'!$C$12+M11*'Inputs'!$C$13+M16*'Inputs'!$C$14+'Scenario Inputs'!P38*'Inputs'!$C$15</x:f>
        <x:v>741.6051091508568</x:v>
      </x:c>
    </x:row>
    <x:row r="29" ht="22" customHeight="1">
      <x:c r="A29" s="21" t="str">
        <x:v>Fixed tools, hosting and admin</x:v>
      </x:c>
      <x:c r="B29" s="83" t="n">
        <x:f>'Scenario Inputs'!E40</x:f>
        <x:v>60</x:v>
      </x:c>
      <x:c r="C29" s="83" t="n">
        <x:f>'Scenario Inputs'!F40</x:f>
        <x:v>85</x:v>
      </x:c>
      <x:c r="D29" s="83" t="n">
        <x:f>'Scenario Inputs'!G40</x:f>
        <x:v>120</x:v>
      </x:c>
      <x:c r="E29" s="83" t="n">
        <x:f>'Scenario Inputs'!H40</x:f>
        <x:v>135</x:v>
      </x:c>
      <x:c r="F29" s="83" t="n">
        <x:f>'Scenario Inputs'!I40</x:f>
        <x:v>150</x:v>
      </x:c>
      <x:c r="G29" s="83" t="n">
        <x:f>'Scenario Inputs'!J40</x:f>
        <x:v>175</x:v>
      </x:c>
      <x:c r="H29" s="83" t="n">
        <x:f>'Scenario Inputs'!K40</x:f>
        <x:v>200</x:v>
      </x:c>
      <x:c r="I29" s="83" t="n">
        <x:f>'Scenario Inputs'!L40</x:f>
        <x:v>225</x:v>
      </x:c>
      <x:c r="J29" s="83" t="n">
        <x:f>'Scenario Inputs'!M40</x:f>
        <x:v>250</x:v>
      </x:c>
      <x:c r="K29" s="83" t="n">
        <x:f>'Scenario Inputs'!N40</x:f>
        <x:v>275</x:v>
      </x:c>
      <x:c r="L29" s="83" t="n">
        <x:f>'Scenario Inputs'!O40</x:f>
        <x:v>300</x:v>
      </x:c>
      <x:c r="M29" s="83" t="n">
        <x:f>'Scenario Inputs'!P40</x:f>
        <x:v>325</x:v>
      </x:c>
    </x:row>
    <x:row r="30" ht="22" customHeight="1">
      <x:c r="A30" s="21" t="str">
        <x:v>Cash customer acquisition</x:v>
      </x:c>
      <x:c r="B30" s="83" t="n">
        <x:f>'Scenario Inputs'!E41</x:f>
        <x:v>40</x:v>
      </x:c>
      <x:c r="C30" s="83" t="n">
        <x:f>'Scenario Inputs'!F41</x:f>
        <x:v>75</x:v>
      </x:c>
      <x:c r="D30" s="83" t="n">
        <x:f>'Scenario Inputs'!G41</x:f>
        <x:v>100</x:v>
      </x:c>
      <x:c r="E30" s="83" t="n">
        <x:f>'Scenario Inputs'!H41</x:f>
        <x:v>140</x:v>
      </x:c>
      <x:c r="F30" s="83" t="n">
        <x:f>'Scenario Inputs'!I41</x:f>
        <x:v>175</x:v>
      </x:c>
      <x:c r="G30" s="83" t="n">
        <x:f>'Scenario Inputs'!J41</x:f>
        <x:v>200</x:v>
      </x:c>
      <x:c r="H30" s="83" t="n">
        <x:f>'Scenario Inputs'!K41</x:f>
        <x:v>230</x:v>
      </x:c>
      <x:c r="I30" s="83" t="n">
        <x:f>'Scenario Inputs'!L41</x:f>
        <x:v>260</x:v>
      </x:c>
      <x:c r="J30" s="83" t="n">
        <x:f>'Scenario Inputs'!M41</x:f>
        <x:v>300</x:v>
      </x:c>
      <x:c r="K30" s="83" t="n">
        <x:f>'Scenario Inputs'!N41</x:f>
        <x:v>340</x:v>
      </x:c>
      <x:c r="L30" s="83" t="n">
        <x:f>'Scenario Inputs'!O41</x:f>
        <x:v>380</x:v>
      </x:c>
      <x:c r="M30" s="83" t="n">
        <x:f>'Scenario Inputs'!P41</x:f>
        <x:v>420</x:v>
      </x:c>
    </x:row>
    <x:row r="31" ht="22" customHeight="1">
      <x:c r="A31" s="21" t="str">
        <x:v>Contractor delivery / operations</x:v>
      </x:c>
      <x:c r="B31" s="59" t="n">
        <x:f>'Scenario Inputs'!E42*'Inputs'!$C$16</x:f>
        <x:v>0</x:v>
      </x:c>
      <x:c r="C31" s="59" t="n">
        <x:f>'Scenario Inputs'!F42*'Inputs'!$C$16</x:f>
        <x:v>0</x:v>
      </x:c>
      <x:c r="D31" s="59" t="n">
        <x:f>'Scenario Inputs'!G42*'Inputs'!$C$16</x:f>
        <x:v>0</x:v>
      </x:c>
      <x:c r="E31" s="59" t="n">
        <x:f>'Scenario Inputs'!H42*'Inputs'!$C$16</x:f>
        <x:v>150</x:v>
      </x:c>
      <x:c r="F31" s="59" t="n">
        <x:f>'Scenario Inputs'!I42*'Inputs'!$C$16</x:f>
        <x:v>210</x:v>
      </x:c>
      <x:c r="G31" s="59" t="n">
        <x:f>'Scenario Inputs'!J42*'Inputs'!$C$16</x:f>
        <x:v>300</x:v>
      </x:c>
      <x:c r="H31" s="59" t="n">
        <x:f>'Scenario Inputs'!K42*'Inputs'!$C$16</x:f>
        <x:v>450</x:v>
      </x:c>
      <x:c r="I31" s="59" t="n">
        <x:f>'Scenario Inputs'!L42*'Inputs'!$C$16</x:f>
        <x:v>600</x:v>
      </x:c>
      <x:c r="J31" s="59" t="n">
        <x:f>'Scenario Inputs'!M42*'Inputs'!$C$16</x:f>
        <x:v>750</x:v>
      </x:c>
      <x:c r="K31" s="59" t="n">
        <x:f>'Scenario Inputs'!N42*'Inputs'!$C$16</x:f>
        <x:v>900</x:v>
      </x:c>
      <x:c r="L31" s="59" t="n">
        <x:f>'Scenario Inputs'!O42*'Inputs'!$C$16</x:f>
        <x:v>1050</x:v>
      </x:c>
      <x:c r="M31" s="59" t="n">
        <x:f>'Scenario Inputs'!P42*'Inputs'!$C$16</x:f>
        <x:v>1200</x:v>
      </x:c>
    </x:row>
    <x:row r="32" ht="22" customHeight="1">
      <x:c r="A32" s="21" t="str">
        <x:v>Initial setup spend</x:v>
      </x:c>
      <x:c r="B32" s="83" t="n">
        <x:f>'Scenario Inputs'!E52</x:f>
        <x:v>50</x:v>
      </x:c>
      <x:c r="C32" s="83" t="n">
        <x:f>0</x:f>
        <x:v>0</x:v>
      </x:c>
      <x:c r="D32" s="83" t="n">
        <x:f>0</x:f>
        <x:v>0</x:v>
      </x:c>
      <x:c r="E32" s="83" t="n">
        <x:f>0</x:f>
        <x:v>0</x:v>
      </x:c>
      <x:c r="F32" s="83" t="n">
        <x:f>0</x:f>
        <x:v>0</x:v>
      </x:c>
      <x:c r="G32" s="83" t="n">
        <x:f>0</x:f>
        <x:v>0</x:v>
      </x:c>
      <x:c r="H32" s="83" t="n">
        <x:f>0</x:f>
        <x:v>0</x:v>
      </x:c>
      <x:c r="I32" s="83" t="n">
        <x:f>0</x:f>
        <x:v>0</x:v>
      </x:c>
      <x:c r="J32" s="83" t="n">
        <x:f>0</x:f>
        <x:v>0</x:v>
      </x:c>
      <x:c r="K32" s="83" t="n">
        <x:f>0</x:f>
        <x:v>0</x:v>
      </x:c>
      <x:c r="L32" s="83" t="n">
        <x:f>0</x:f>
        <x:v>0</x:v>
      </x:c>
      <x:c r="M32" s="83" t="n">
        <x:f>0</x:f>
        <x:v>0</x:v>
      </x:c>
    </x:row>
    <x:row r="33" ht="22" customHeight="1">
      <x:c r="A33" s="67" t="str">
        <x:v>TOTAL OPERATING EXPENSES</x:v>
      </x:c>
      <x:c r="B33" s="68" t="n">
        <x:f>SUM(B25:B32)</x:f>
        <x:v>277.26300000000003</x:v>
      </x:c>
      <x:c r="C33" s="68" t="n">
        <x:f>SUM(C25:C32)</x:f>
        <x:v>620.2478799999999</x:v>
      </x:c>
      <x:c r="D33" s="68" t="n">
        <x:f>SUM(D25:D32)</x:f>
        <x:v>948.2157648</x:v>
      </x:c>
      <x:c r="E33" s="68" t="n">
        <x:f>SUM(E25:E32)</x:f>
        <x:v>1337.407834208</x:v>
      </x:c>
      <x:c r="F33" s="68" t="n">
        <x:f>SUM(F25:F32)</x:f>
        <x:v>1603.9859208396801</x:v>
      </x:c>
      <x:c r="G33" s="68" t="n">
        <x:f>SUM(G25:G32)</x:f>
        <x:v>1927.7823840060928</x:v>
      </x:c>
      <x:c r="H33" s="68" t="n">
        <x:f>SUM(H25:H32)</x:f>
        <x:v>2433.250188645849</x:v>
      </x:c>
      <x:c r="I33" s="68" t="n">
        <x:f>SUM(I25:I32)</x:f>
        <x:v>2863.724481100015</x:v>
      </x:c>
      <x:c r="J33" s="68" t="n">
        <x:f>SUM(J25:J32)</x:f>
        <x:v>3274.9335018560146</x:v>
      </x:c>
      <x:c r="K33" s="68" t="n">
        <x:f>SUM(K25:K32)</x:f>
        <x:v>3746.4256617817737</x:v>
      </x:c>
      <x:c r="L33" s="68" t="n">
        <x:f>SUM(L25:L32)</x:f>
        <x:v>4199.885835310503</x:v>
      </x:c>
      <x:c r="M33" s="68" t="n">
        <x:f>SUM(M25:M32)</x:f>
        <x:v>4646.117601898083</x:v>
      </x:c>
    </x:row>
    <x:row r="34" ht="22" customHeight="1">
      <x:c r="A34" s="21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</x:row>
    <x:row r="35" ht="22" customHeight="1">
      <x:c r="A35" s="67" t="str">
        <x:v>OPERATING PROFIT BEFORE OWNER PAY</x:v>
      </x:c>
      <x:c r="B35" s="68" t="n">
        <x:f>B23-B33</x:f>
        <x:v>410.13699999999994</x:v>
      </x:c>
      <x:c r="C35" s="68" t="n">
        <x:f>C23-C33</x:f>
        <x:v>2072.57612</x:v>
      </x:c>
      <x:c r="D35" s="68" t="n">
        <x:f>D23-D33</x:f>
        <x:v>3157.0552751999994</x:v>
      </x:c>
      <x:c r="E35" s="68" t="n">
        <x:f>E23-E33</x:f>
        <x:v>3588.312364191999</x:v>
      </x:c>
      <x:c r="F35" s="68" t="n">
        <x:f>F23-F33</x:f>
        <x:v>3962.7054696243204</x:v>
      </x:c>
      <x:c r="G35" s="68" t="n">
        <x:f>G23-G33</x:f>
        <x:v>4446.661350839347</x:v>
      </x:c>
      <x:c r="H35" s="68" t="n">
        <x:f>H23-H33</x:f>
        <x:v>5409.715796805773</x:v>
      </x:c>
      <x:c r="I35" s="68" t="n">
        <x:f>I23-I33</x:f>
        <x:v>5957.062864933543</x:v>
      </x:c>
      <x:c r="J35" s="68" t="n">
        <x:f>J23-J33</x:f>
        <x:v>6337.902350336202</x:v>
      </x:c>
      <x:c r="K35" s="68" t="n">
        <x:f>K23-K33</x:f>
        <x:v>6966.196756322754</x:v>
      </x:c>
      <x:c r="L35" s="68" t="n">
        <x:f>L23-L33</x:f>
        <x:v>7474.791686069843</x:v>
      </x:c>
      <x:c r="M35" s="68" t="n">
        <x:f>M23-M33</x:f>
        <x:v>7961.932818627048</x:v>
      </x:c>
    </x:row>
    <x:row r="36" ht="22" customHeight="1">
      <x:c r="A36" s="21" t="str">
        <x:v>Operating profit margin</x:v>
      </x:c>
      <x:c r="B36" s="61" t="n">
        <x:f>IFERROR(B35/B23,0)</x:f>
        <x:v>0.5966496945010182</x:v>
      </x:c>
      <x:c r="C36" s="61" t="n">
        <x:f>IFERROR(C35/C23,0)</x:f>
        <x:v>0.7696663874059352</x:v>
      </x:c>
      <x:c r="D36" s="61" t="n">
        <x:f>IFERROR(D35/D23,0)</x:f>
        <x:v>0.7690248084569831</x:v>
      </x:c>
      <x:c r="E36" s="61" t="n">
        <x:f>IFERROR(E35/E23,0)</x:f>
        <x:v>0.7284848143338665</x:v>
      </x:c>
      <x:c r="F36" s="61" t="n">
        <x:f>IFERROR(F35/F23,0)</x:f>
        <x:v>0.7118600963604014</x:v>
      </x:c>
      <x:c r="G36" s="61" t="n">
        <x:f>IFERROR(G35/G23,0)</x:f>
        <x:v>0.6975763746304625</x:v>
      </x:c>
      <x:c r="H36" s="61" t="n">
        <x:f>IFERROR(H35/H23,0)</x:f>
        <x:v>0.6897538261469669</x:v>
      </x:c>
      <x:c r="I36" s="61" t="n">
        <x:f>IFERROR(I35/I23,0)</x:f>
        <x:v>0.6753436661878324</x:v>
      </x:c>
      <x:c r="J36" s="61" t="n">
        <x:f>IFERROR(J35/J23,0)</x:f>
        <x:v>0.6593166103934707</x:v>
      </x:c>
      <x:c r="K36" s="61" t="n">
        <x:f>IFERROR(K35/K23,0)</x:f>
        <x:v>0.6502793139194147</x:v>
      </x:c>
      <x:c r="L36" s="61" t="n">
        <x:f>IFERROR(L35/L23,0)</x:f>
        <x:v>0.6402568013018716</x:v>
      </x:c>
      <x:c r="M36" s="61" t="n">
        <x:f>IFERROR(M35/M23,0)</x:f>
        <x:v>0.6314959532256875</x:v>
      </x:c>
    </x:row>
    <x:row r="37" ht="22" customHeight="1">
      <x:c r="A37" s="21" t="str">
        <x:v>Cumulative operating profit</x:v>
      </x:c>
      <x:c r="B37" s="59" t="n">
        <x:f>SUM($B35:B35)</x:f>
        <x:v>410.13699999999994</x:v>
      </x:c>
      <x:c r="C37" s="59" t="n">
        <x:f>SUM($B35:C35)</x:f>
        <x:v>2482.7131200000003</x:v>
      </x:c>
      <x:c r="D37" s="59" t="n">
        <x:f>SUM($B35:D35)</x:f>
        <x:v>5639.7683952</x:v>
      </x:c>
      <x:c r="E37" s="59" t="n">
        <x:f>SUM($B35:E35)</x:f>
        <x:v>9228.080759392</x:v>
      </x:c>
      <x:c r="F37" s="59" t="n">
        <x:f>SUM($B35:F35)</x:f>
        <x:v>13190.786229016321</x:v>
      </x:c>
      <x:c r="G37" s="59" t="n">
        <x:f>SUM($B35:G35)</x:f>
        <x:v>17637.447579855667</x:v>
      </x:c>
      <x:c r="H37" s="59" t="n">
        <x:f>SUM($B35:H35)</x:f>
        <x:v>23047.16337666144</x:v>
      </x:c>
      <x:c r="I37" s="59" t="n">
        <x:f>SUM($B35:I35)</x:f>
        <x:v>29004.22624159498</x:v>
      </x:c>
      <x:c r="J37" s="59" t="n">
        <x:f>SUM($B35:J35)</x:f>
        <x:v>35342.128591931185</x:v>
      </x:c>
      <x:c r="K37" s="59" t="n">
        <x:f>SUM($B35:K35)</x:f>
        <x:v>42308.32534825394</x:v>
      </x:c>
      <x:c r="L37" s="59" t="n">
        <x:f>SUM($B35:L35)</x:f>
        <x:v>49783.11703432378</x:v>
      </x:c>
      <x:c r="M37" s="59" t="n">
        <x:f>SUM($B35:M35)</x:f>
        <x:v>57745.04985295083</x:v>
      </x:c>
    </x:row>
    <x:row r="38" ht="22" customHeight="1">
      <x:c r="A38" s="21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 ht="22" customHeight="1">
      <x:c r="A39" s="21" t="str">
        <x:v>Gross owner operations hours</x:v>
      </x:c>
      <x:c r="B39" s="57" t="n">
        <x:f>B5*'Scenario Inputs'!E46+B11*'Scenario Inputs'!E47+B16*'Scenario Inputs'!E48+B14*'Inputs'!$C$21+'Scenario Inputs'!E38*'Inputs'!$C$19</x:f>
        <x:v>10.3</x:v>
      </x:c>
      <x:c r="C39" s="57" t="n">
        <x:f>C5*'Scenario Inputs'!F46+C11*'Scenario Inputs'!F47+C16*'Scenario Inputs'!F48+C14*'Inputs'!$C$21+'Scenario Inputs'!F38*'Inputs'!$C$19</x:f>
        <x:v>17.363</x:v>
      </x:c>
      <x:c r="D39" s="57" t="n">
        <x:f>D5*'Scenario Inputs'!G46+D11*'Scenario Inputs'!G47+D16*'Scenario Inputs'!G48+D14*'Inputs'!$C$21+'Scenario Inputs'!G38*'Inputs'!$C$19</x:f>
        <x:v>25.04148</x:v>
      </x:c>
      <x:c r="E39" s="57" t="n">
        <x:f>E5*'Scenario Inputs'!H46+E11*'Scenario Inputs'!H47+E16*'Scenario Inputs'!H48+E14*'Inputs'!$C$21+'Scenario Inputs'!H38*'Inputs'!$C$19</x:f>
        <x:v>28.064820800000003</x:v>
      </x:c>
      <x:c r="F39" s="57" t="n">
        <x:f>F5*'Scenario Inputs'!I46+F11*'Scenario Inputs'!I47+F16*'Scenario Inputs'!I48+F14*'Inputs'!$C$21+'Scenario Inputs'!I38*'Inputs'!$C$19</x:f>
        <x:v>30.044227967999998</x:v>
      </x:c>
      <x:c r="G39" s="57" t="n">
        <x:f>G5*'Scenario Inputs'!J46+G11*'Scenario Inputs'!J47+G16*'Scenario Inputs'!J48+G14*'Inputs'!$C$21+'Scenario Inputs'!J38*'Inputs'!$C$19</x:f>
        <x:v>33.07745884928</x:v>
      </x:c>
      <x:c r="H39" s="57" t="n">
        <x:f>H5*'Scenario Inputs'!K46+H11*'Scenario Inputs'!K47+H16*'Scenario Inputs'!K48+H14*'Inputs'!$C$21+'Scenario Inputs'!K38*'Inputs'!$C$19</x:f>
        <x:v>40.412360495308796</x:v>
      </x:c>
      <x:c r="I39" s="57" t="n">
        <x:f>I5*'Scenario Inputs'!L46+I11*'Scenario Inputs'!L47+I16*'Scenario Inputs'!L48+I14*'Inputs'!$C$21+'Scenario Inputs'!L38*'Inputs'!$C$19</x:f>
        <x:v>43.940866075496444</x:v>
      </x:c>
      <x:c r="J39" s="57" t="n">
        <x:f>J5*'Scenario Inputs'!M46+J11*'Scenario Inputs'!M47+J16*'Scenario Inputs'!M48+J14*'Inputs'!$C$21+'Scenario Inputs'!M38*'Inputs'!$C$19</x:f>
        <x:v>46.40523143247658</x:v>
      </x:c>
      <x:c r="K39" s="57" t="n">
        <x:f>K5*'Scenario Inputs'!N46+K11*'Scenario Inputs'!N47+K16*'Scenario Inputs'!N48+K14*'Inputs'!$C$21+'Scenario Inputs'!N38*'Inputs'!$C$19</x:f>
        <x:v>50.20402217517753</x:v>
      </x:c>
      <x:c r="L39" s="57" t="n">
        <x:f>L5*'Scenario Inputs'!O46+L11*'Scenario Inputs'!O47+L16*'Scenario Inputs'!O48+L14*'Inputs'!$C$21+'Scenario Inputs'!O38*'Inputs'!$C$19</x:f>
        <x:v>53.03586128817042</x:v>
      </x:c>
      <x:c r="M39" s="57" t="n">
        <x:f>M5*'Scenario Inputs'!P46+M11*'Scenario Inputs'!P47+M16*'Scenario Inputs'!P48+M14*'Inputs'!$C$21+'Scenario Inputs'!P38*'Inputs'!$C$19</x:f>
        <x:v>55.77442683664361</x:v>
      </x:c>
    </x:row>
    <x:row r="40" ht="22" customHeight="1">
      <x:c r="A40" s="21" t="str">
        <x:v>Effective contractor delegation hours</x:v>
      </x:c>
      <x:c r="B40" s="57" t="n">
        <x:f>'Scenario Inputs'!E42*'Inputs'!$C$20</x:f>
        <x:v>0</x:v>
      </x:c>
      <x:c r="C40" s="57" t="n">
        <x:f>'Scenario Inputs'!F42*'Inputs'!$C$20</x:f>
        <x:v>0</x:v>
      </x:c>
      <x:c r="D40" s="57" t="n">
        <x:f>'Scenario Inputs'!G42*'Inputs'!$C$20</x:f>
        <x:v>0</x:v>
      </x:c>
      <x:c r="E40" s="57" t="n">
        <x:f>'Scenario Inputs'!H42*'Inputs'!$C$20</x:f>
        <x:v>2.5</x:v>
      </x:c>
      <x:c r="F40" s="57" t="n">
        <x:f>'Scenario Inputs'!I42*'Inputs'!$C$20</x:f>
        <x:v>3.5</x:v>
      </x:c>
      <x:c r="G40" s="57" t="n">
        <x:f>'Scenario Inputs'!J42*'Inputs'!$C$20</x:f>
        <x:v>5</x:v>
      </x:c>
      <x:c r="H40" s="57" t="n">
        <x:f>'Scenario Inputs'!K42*'Inputs'!$C$20</x:f>
        <x:v>7.5</x:v>
      </x:c>
      <x:c r="I40" s="57" t="n">
        <x:f>'Scenario Inputs'!L42*'Inputs'!$C$20</x:f>
        <x:v>10</x:v>
      </x:c>
      <x:c r="J40" s="57" t="n">
        <x:f>'Scenario Inputs'!M42*'Inputs'!$C$20</x:f>
        <x:v>12.5</x:v>
      </x:c>
      <x:c r="K40" s="57" t="n">
        <x:f>'Scenario Inputs'!N42*'Inputs'!$C$20</x:f>
        <x:v>15</x:v>
      </x:c>
      <x:c r="L40" s="57" t="n">
        <x:f>'Scenario Inputs'!O42*'Inputs'!$C$20</x:f>
        <x:v>17.5</x:v>
      </x:c>
      <x:c r="M40" s="57" t="n">
        <x:f>'Scenario Inputs'!P42*'Inputs'!$C$20</x:f>
        <x:v>20</x:v>
      </x:c>
    </x:row>
    <x:row r="41" ht="22" customHeight="1">
      <x:c r="A41" s="21" t="str">
        <x:v>Retained owner operations hours</x:v>
      </x:c>
      <x:c r="B41" s="57" t="n">
        <x:f>MAX(B39-B40,0)</x:f>
        <x:v>10.3</x:v>
      </x:c>
      <x:c r="C41" s="57" t="n">
        <x:f>MAX(C39-C40,0)</x:f>
        <x:v>17.363</x:v>
      </x:c>
      <x:c r="D41" s="57" t="n">
        <x:f>MAX(D39-D40,0)</x:f>
        <x:v>25.04148</x:v>
      </x:c>
      <x:c r="E41" s="57" t="n">
        <x:f>MAX(E39-E40,0)</x:f>
        <x:v>25.564820800000003</x:v>
      </x:c>
      <x:c r="F41" s="57" t="n">
        <x:f>MAX(F39-F40,0)</x:f>
        <x:v>26.544227967999998</x:v>
      </x:c>
      <x:c r="G41" s="57" t="n">
        <x:f>MAX(G39-G40,0)</x:f>
        <x:v>28.07745884928</x:v>
      </x:c>
      <x:c r="H41" s="57" t="n">
        <x:f>MAX(H39-H40,0)</x:f>
        <x:v>32.912360495308796</x:v>
      </x:c>
      <x:c r="I41" s="57" t="n">
        <x:f>MAX(I39-I40,0)</x:f>
        <x:v>33.940866075496444</x:v>
      </x:c>
      <x:c r="J41" s="57" t="n">
        <x:f>MAX(J39-J40,0)</x:f>
        <x:v>33.90523143247658</x:v>
      </x:c>
      <x:c r="K41" s="57" t="n">
        <x:f>MAX(K39-K40,0)</x:f>
        <x:v>35.20402217517753</x:v>
      </x:c>
      <x:c r="L41" s="57" t="n">
        <x:f>MAX(L39-L40,0)</x:f>
        <x:v>35.53586128817042</x:v>
      </x:c>
      <x:c r="M41" s="57" t="n">
        <x:f>MAX(M39-M40,0)</x:f>
        <x:v>35.77442683664361</x:v>
      </x:c>
    </x:row>
    <x:row r="42" ht="22" customHeight="1">
      <x:c r="A42" s="21" t="str">
        <x:v>Owner build / improvement hours</x:v>
      </x:c>
      <x:c r="B42" s="81" t="n">
        <x:f>'Scenario Inputs'!E43</x:f>
        <x:v>25</x:v>
      </x:c>
      <x:c r="C42" s="81" t="n">
        <x:f>'Scenario Inputs'!F43</x:f>
        <x:v>18</x:v>
      </x:c>
      <x:c r="D42" s="81" t="n">
        <x:f>'Scenario Inputs'!G43</x:f>
        <x:v>12</x:v>
      </x:c>
      <x:c r="E42" s="81" t="n">
        <x:f>'Scenario Inputs'!H43</x:f>
        <x:v>10</x:v>
      </x:c>
      <x:c r="F42" s="81" t="n">
        <x:f>'Scenario Inputs'!I43</x:f>
        <x:v>8</x:v>
      </x:c>
      <x:c r="G42" s="81" t="n">
        <x:f>'Scenario Inputs'!J43</x:f>
        <x:v>7</x:v>
      </x:c>
      <x:c r="H42" s="81" t="n">
        <x:f>'Scenario Inputs'!K43</x:f>
        <x:v>6</x:v>
      </x:c>
      <x:c r="I42" s="81" t="n">
        <x:f>'Scenario Inputs'!L43</x:f>
        <x:v>5</x:v>
      </x:c>
      <x:c r="J42" s="81" t="n">
        <x:f>'Scenario Inputs'!M43</x:f>
        <x:v>5</x:v>
      </x:c>
      <x:c r="K42" s="81" t="n">
        <x:f>'Scenario Inputs'!N43</x:f>
        <x:v>5</x:v>
      </x:c>
      <x:c r="L42" s="81" t="n">
        <x:f>'Scenario Inputs'!O43</x:f>
        <x:v>5</x:v>
      </x:c>
      <x:c r="M42" s="81" t="n">
        <x:f>'Scenario Inputs'!P43</x:f>
        <x:v>5</x:v>
      </x:c>
    </x:row>
    <x:row r="43" ht="22" customHeight="1">
      <x:c r="A43" s="21" t="str">
        <x:v>Owner sales / partnership hours</x:v>
      </x:c>
      <x:c r="B43" s="81" t="n">
        <x:f>'Scenario Inputs'!E44</x:f>
        <x:v>30</x:v>
      </x:c>
      <x:c r="C43" s="81" t="n">
        <x:f>'Scenario Inputs'!F44</x:f>
        <x:v>30</x:v>
      </x:c>
      <x:c r="D43" s="81" t="n">
        <x:f>'Scenario Inputs'!G44</x:f>
        <x:v>32</x:v>
      </x:c>
      <x:c r="E43" s="81" t="n">
        <x:f>'Scenario Inputs'!H44</x:f>
        <x:v>32</x:v>
      </x:c>
      <x:c r="F43" s="81" t="n">
        <x:f>'Scenario Inputs'!I44</x:f>
        <x:v>32</x:v>
      </x:c>
      <x:c r="G43" s="81" t="n">
        <x:f>'Scenario Inputs'!J44</x:f>
        <x:v>32</x:v>
      </x:c>
      <x:c r="H43" s="81" t="n">
        <x:f>'Scenario Inputs'!K44</x:f>
        <x:v>35</x:v>
      </x:c>
      <x:c r="I43" s="81" t="n">
        <x:f>'Scenario Inputs'!L44</x:f>
        <x:v>35</x:v>
      </x:c>
      <x:c r="J43" s="81" t="n">
        <x:f>'Scenario Inputs'!M44</x:f>
        <x:v>35</x:v>
      </x:c>
      <x:c r="K43" s="81" t="n">
        <x:f>'Scenario Inputs'!N44</x:f>
        <x:v>35</x:v>
      </x:c>
      <x:c r="L43" s="81" t="n">
        <x:f>'Scenario Inputs'!O44</x:f>
        <x:v>35</x:v>
      </x:c>
      <x:c r="M43" s="81" t="n">
        <x:f>'Scenario Inputs'!P44</x:f>
        <x:v>35</x:v>
      </x:c>
    </x:row>
    <x:row r="44" ht="22" customHeight="1">
      <x:c r="A44" s="21" t="str">
        <x:v>Owner admin / oversight hours</x:v>
      </x:c>
      <x:c r="B44" s="81" t="n">
        <x:f>'Scenario Inputs'!E45</x:f>
        <x:v>5</x:v>
      </x:c>
      <x:c r="C44" s="81" t="n">
        <x:f>'Scenario Inputs'!F45</x:f>
        <x:v>5</x:v>
      </x:c>
      <x:c r="D44" s="81" t="n">
        <x:f>'Scenario Inputs'!G45</x:f>
        <x:v>6</x:v>
      </x:c>
      <x:c r="E44" s="81" t="n">
        <x:f>'Scenario Inputs'!H45</x:f>
        <x:v>6</x:v>
      </x:c>
      <x:c r="F44" s="81" t="n">
        <x:f>'Scenario Inputs'!I45</x:f>
        <x:v>6</x:v>
      </x:c>
      <x:c r="G44" s="81" t="n">
        <x:f>'Scenario Inputs'!J45</x:f>
        <x:v>6</x:v>
      </x:c>
      <x:c r="H44" s="81" t="n">
        <x:f>'Scenario Inputs'!K45</x:f>
        <x:v>7</x:v>
      </x:c>
      <x:c r="I44" s="81" t="n">
        <x:f>'Scenario Inputs'!L45</x:f>
        <x:v>7</x:v>
      </x:c>
      <x:c r="J44" s="81" t="n">
        <x:f>'Scenario Inputs'!M45</x:f>
        <x:v>7</x:v>
      </x:c>
      <x:c r="K44" s="81" t="n">
        <x:f>'Scenario Inputs'!N45</x:f>
        <x:v>7</x:v>
      </x:c>
      <x:c r="L44" s="81" t="n">
        <x:f>'Scenario Inputs'!O45</x:f>
        <x:v>7</x:v>
      </x:c>
      <x:c r="M44" s="81" t="n">
        <x:f>'Scenario Inputs'!P45</x:f>
        <x:v>7</x:v>
      </x:c>
    </x:row>
    <x:row r="45" ht="22" customHeight="1">
      <x:c r="A45" s="67" t="str">
        <x:v>TOTAL OWNER HOURS / MONTH</x:v>
      </x:c>
      <x:c r="B45" s="77" t="n">
        <x:f>SUM(B41:B44)</x:f>
        <x:v>70.3</x:v>
      </x:c>
      <x:c r="C45" s="77" t="n">
        <x:f>SUM(C41:C44)</x:f>
        <x:v>70.363</x:v>
      </x:c>
      <x:c r="D45" s="77" t="n">
        <x:f>SUM(D41:D44)</x:f>
        <x:v>75.04148</x:v>
      </x:c>
      <x:c r="E45" s="77" t="n">
        <x:f>SUM(E41:E44)</x:f>
        <x:v>73.5648208</x:v>
      </x:c>
      <x:c r="F45" s="77" t="n">
        <x:f>SUM(F41:F44)</x:f>
        <x:v>72.544227968</x:v>
      </x:c>
      <x:c r="G45" s="77" t="n">
        <x:f>SUM(G41:G44)</x:f>
        <x:v>73.07745884927999</x:v>
      </x:c>
      <x:c r="H45" s="77" t="n">
        <x:f>SUM(H41:H44)</x:f>
        <x:v>80.9123604953088</x:v>
      </x:c>
      <x:c r="I45" s="77" t="n">
        <x:f>SUM(I41:I44)</x:f>
        <x:v>80.94086607549644</x:v>
      </x:c>
      <x:c r="J45" s="77" t="n">
        <x:f>SUM(J41:J44)</x:f>
        <x:v>80.90523143247658</x:v>
      </x:c>
      <x:c r="K45" s="77" t="n">
        <x:f>SUM(K41:K44)</x:f>
        <x:v>82.20402217517753</x:v>
      </x:c>
      <x:c r="L45" s="77" t="n">
        <x:f>SUM(L41:L44)</x:f>
        <x:v>82.53586128817042</x:v>
      </x:c>
      <x:c r="M45" s="77" t="n">
        <x:f>SUM(M41:M44)</x:f>
        <x:v>82.77442683664361</x:v>
      </x:c>
    </x:row>
    <x:row r="46" ht="22" customHeight="1">
      <x:c r="A46" s="21" t="str">
        <x:v>Owner hours / week</x:v>
      </x:c>
      <x:c r="B46" s="57" t="n">
        <x:f>B45*12/52</x:f>
        <x:v>16.22307692307692</x:v>
      </x:c>
      <x:c r="C46" s="57" t="n">
        <x:f>C45*12/52</x:f>
        <x:v>16.237615384615385</x:v>
      </x:c>
      <x:c r="D46" s="57" t="n">
        <x:f>D45*12/52</x:f>
        <x:v>17.317264615384616</x:v>
      </x:c>
      <x:c r="E46" s="57" t="n">
        <x:f>E45*12/52</x:f>
        <x:v>16.97649710769231</x:v>
      </x:c>
      <x:c r="F46" s="57" t="n">
        <x:f>F45*12/52</x:f>
        <x:v>16.74097568492308</x:v>
      </x:c>
      <x:c r="G46" s="57" t="n">
        <x:f>G45*12/52</x:f>
        <x:v>16.86402896521846</x:v>
      </x:c>
      <x:c r="H46" s="57" t="n">
        <x:f>H45*12/52</x:f>
        <x:v>18.67208319122511</x:v>
      </x:c>
      <x:c r="I46" s="57" t="n">
        <x:f>I45*12/52</x:f>
        <x:v>18.67866140203764</x:v>
      </x:c>
      <x:c r="J46" s="57" t="n">
        <x:f>J45*12/52</x:f>
        <x:v>18.670438022879214</x:v>
      </x:c>
      <x:c r="K46" s="57" t="n">
        <x:f>K45*12/52</x:f>
        <x:v>18.970158963502506</x:v>
      </x:c>
      <x:c r="L46" s="57" t="n">
        <x:f>L45*12/52</x:f>
        <x:v>19.04673722034702</x:v>
      </x:c>
      <x:c r="M46" s="57" t="n">
        <x:f>M45*12/52</x:f>
        <x:v>19.10179080845622</x:v>
      </x:c>
    </x:row>
    <x:row r="47" ht="22" customHeight="1">
      <x:c r="A47" s="21" t="str">
        <x:v>Owner time opportunity cost</x:v>
      </x:c>
      <x:c r="B47" s="59" t="n">
        <x:f>B45*'Inputs'!$C$17</x:f>
        <x:v>2109</x:v>
      </x:c>
      <x:c r="C47" s="59" t="n">
        <x:f>C45*'Inputs'!$C$17</x:f>
        <x:v>2110.89</x:v>
      </x:c>
      <x:c r="D47" s="59" t="n">
        <x:f>D45*'Inputs'!$C$17</x:f>
        <x:v>2251.2444</x:v>
      </x:c>
      <x:c r="E47" s="59" t="n">
        <x:f>E45*'Inputs'!$C$17</x:f>
        <x:v>2206.944624</x:v>
      </x:c>
      <x:c r="F47" s="59" t="n">
        <x:f>F45*'Inputs'!$C$17</x:f>
        <x:v>2176.32683904</x:v>
      </x:c>
      <x:c r="G47" s="59" t="n">
        <x:f>G45*'Inputs'!$C$17</x:f>
        <x:v>2192.3237654783998</x:v>
      </x:c>
      <x:c r="H47" s="59" t="n">
        <x:f>H45*'Inputs'!$C$17</x:f>
        <x:v>2427.370814859264</x:v>
      </x:c>
      <x:c r="I47" s="59" t="n">
        <x:f>I45*'Inputs'!$C$17</x:f>
        <x:v>2428.2259822648934</x:v>
      </x:c>
      <x:c r="J47" s="59" t="n">
        <x:f>J45*'Inputs'!$C$17</x:f>
        <x:v>2427.1569429742976</x:v>
      </x:c>
      <x:c r="K47" s="59" t="n">
        <x:f>K45*'Inputs'!$C$17</x:f>
        <x:v>2466.120665255326</x:v>
      </x:c>
      <x:c r="L47" s="59" t="n">
        <x:f>L45*'Inputs'!$C$17</x:f>
        <x:v>2476.0758386451125</x:v>
      </x:c>
      <x:c r="M47" s="59" t="n">
        <x:f>M45*'Inputs'!$C$17</x:f>
        <x:v>2483.2328050993083</x:v>
      </x:c>
    </x:row>
    <x:row r="48" ht="22" customHeight="1">
      <x:c r="A48" s="67" t="str">
        <x:v>PROFIT AFTER VALUING OWNER TIME</x:v>
      </x:c>
      <x:c r="B48" s="68" t="n">
        <x:f>B35-B47</x:f>
        <x:v>-1698.863</x:v>
      </x:c>
      <x:c r="C48" s="68" t="n">
        <x:f>C35-C47</x:f>
        <x:v>-38.3138799999997</x:v>
      </x:c>
      <x:c r="D48" s="68" t="n">
        <x:f>D35-D47</x:f>
        <x:v>905.8108751999994</x:v>
      </x:c>
      <x:c r="E48" s="68" t="n">
        <x:f>E35-E47</x:f>
        <x:v>1381.367740191999</x:v>
      </x:c>
      <x:c r="F48" s="68" t="n">
        <x:f>F35-F47</x:f>
        <x:v>1786.3786305843205</x:v>
      </x:c>
      <x:c r="G48" s="68" t="n">
        <x:f>G35-G47</x:f>
        <x:v>2254.337585360947</x:v>
      </x:c>
      <x:c r="H48" s="68" t="n">
        <x:f>H35-H47</x:f>
        <x:v>2982.3449819465086</x:v>
      </x:c>
      <x:c r="I48" s="68" t="n">
        <x:f>I35-I47</x:f>
        <x:v>3528.8368826686497</x:v>
      </x:c>
      <x:c r="J48" s="68" t="n">
        <x:f>J35-J47</x:f>
        <x:v>3910.7454073619047</x:v>
      </x:c>
      <x:c r="K48" s="68" t="n">
        <x:f>K35-K47</x:f>
        <x:v>4500.076091067427</x:v>
      </x:c>
      <x:c r="L48" s="68" t="n">
        <x:f>L35-L47</x:f>
        <x:v>4998.715847424731</x:v>
      </x:c>
      <x:c r="M48" s="68" t="n">
        <x:f>M35-M47</x:f>
        <x:v>5478.700013527739</x:v>
      </x:c>
    </x:row>
    <x:row r="49" ht="22" customHeight="1">
      <x:c r="A49" s="21" t="str">
        <x:v>Operating profit per owner hour</x:v>
      </x:c>
      <x:c r="B49" s="59" t="n">
        <x:f>IFERROR(B35/B45,0)</x:f>
        <x:v>5.834096728307254</x:v>
      </x:c>
      <x:c r="C49" s="59" t="n">
        <x:f>IFERROR(C35/C45,0)</x:f>
        <x:v>29.455482568963806</x:v>
      </x:c>
      <x:c r="D49" s="59" t="n">
        <x:f>IFERROR(D35/D45,0)</x:f>
        <x:v>42.07080237756504</x:v>
      </x:c>
      <x:c r="E49" s="59" t="n">
        <x:f>IFERROR(E35/E45,0)</x:f>
        <x:v>48.7775586913684</x:v>
      </x:c>
      <x:c r="F49" s="59" t="n">
        <x:f>IFERROR(F35/F45,0)</x:f>
        <x:v>54.62468318461271</x:v>
      </x:c>
      <x:c r="G49" s="59" t="n">
        <x:f>IFERROR(G35/G45,0)</x:f>
        <x:v>60.84860394517068</x:v>
      </x:c>
      <x:c r="H49" s="59" t="n">
        <x:f>IFERROR(H35/H45,0)</x:f>
        <x:v>66.85895410404473</x:v>
      </x:c>
      <x:c r="I49" s="59" t="n">
        <x:f>IFERROR(I35/I45,0)</x:f>
        <x:v>73.59771588528812</x:v>
      </x:c>
      <x:c r="J49" s="59" t="n">
        <x:f>IFERROR(J35/J45,0)</x:f>
        <x:v>78.3373613562407</x:v>
      </x:c>
      <x:c r="K49" s="59" t="n">
        <x:f>IFERROR(K35/K45,0)</x:f>
        <x:v>84.74277257964</x:v>
      </x:c>
      <x:c r="L49" s="59" t="n">
        <x:f>IFERROR(L35/L45,0)</x:f>
        <x:v>90.56416894920292</x:v>
      </x:c>
      <x:c r="M49" s="59" t="n">
        <x:f>IFERROR(M35/M45,0)</x:f>
        <x:v>96.18831712770448</x:v>
      </x:c>
    </x:row>
    <x:row r="50" ht="22" customHeight="1">
      <x:c r="A50" s="21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</x:row>
    <x:row r="51" ht="22" customHeight="1">
      <x:c r="A51" s="67" t="str">
        <x:v>Exit monthly recurring revenue (MRR)</x:v>
      </x:c>
      <x:c r="B51" s="68" t="n">
        <x:f>B10*'Scenario Inputs'!E33+B15*'Scenario Inputs'!E36</x:f>
        <x:v>178.79999999999998</x:v>
      </x:c>
      <x:c r="C51" s="68" t="n">
        <x:f>C10*'Scenario Inputs'!F33+C15*'Scenario Inputs'!F36</x:f>
        <x:v>518.848</x:v>
      </x:c>
      <x:c r="D51" s="68" t="n">
        <x:f>D10*'Scenario Inputs'!G33+D15*'Scenario Inputs'!G36</x:f>
        <x:v>1013.69408</x:v>
      </x:c>
      <x:c r="E51" s="68" t="n">
        <x:f>E10*'Scenario Inputs'!H33+E15*'Scenario Inputs'!H36</x:f>
        <x:v>1567.7463168</x:v>
      </x:c>
      <x:c r="F51" s="68" t="n">
        <x:f>F10*'Scenario Inputs'!I33+F15*'Scenario Inputs'!I36</x:f>
        <x:v>2099.6364641279997</x:v>
      </x:c>
      <x:c r="G51" s="68" t="n">
        <x:f>G10*'Scenario Inputs'!J33+G15*'Scenario Inputs'!J36</x:f>
        <x:v>2689.25100556288</x:v>
      </x:c>
      <x:c r="H51" s="68" t="n">
        <x:f>H10*'Scenario Inputs'!K33+H15*'Scenario Inputs'!K36</x:f>
        <x:v>3344.6809653403643</x:v>
      </x:c>
      <x:c r="I51" s="68" t="n">
        <x:f>I10*'Scenario Inputs'!L33+I15*'Scenario Inputs'!L36</x:f>
        <x:v>4052.89372672675</x:v>
      </x:c>
      <x:c r="J51" s="68" t="n">
        <x:f>J10*'Scenario Inputs'!M33+J15*'Scenario Inputs'!M36</x:f>
        <x:v>4732.77797765768</x:v>
      </x:c>
      <x:c r="K51" s="68" t="n">
        <x:f>K10*'Scenario Inputs'!N33+K15*'Scenario Inputs'!N36</x:f>
        <x:v>5464.466858551374</x:v>
      </x:c>
      <x:c r="L51" s="68" t="n">
        <x:f>L10*'Scenario Inputs'!O33+L15*'Scenario Inputs'!O36</x:f>
        <x:v>6166.888184209319</x:v>
      </x:c>
      <x:c r="M51" s="68" t="n">
        <x:f>M10*'Scenario Inputs'!P33+M15*'Scenario Inputs'!P36</x:f>
        <x:v>6841.212656840946</x:v>
      </x:c>
    </x:row>
    <x:row r="52" ht="22" customHeight="1">
      <x:c r="A52" s="21" t="str">
        <x:v>Recurring-only contribution proxy</x:v>
      </x:c>
      <x:c r="B52" s="59" t="n">
        <x:f>B51*(1-('Scenario Inputs'!E49*'Inputs'!$C$7+(1-'Scenario Inputs'!E49)*'Inputs'!$C$5)-'Inputs'!$C$10-'Inputs'!$C$11)-B10*'Inputs'!$C$13-B15*'Inputs'!$C$14-(B10+B15)*(1-'Scenario Inputs'!E49)*'Inputs'!$C$6-B29-B30-B31</x:f>
        <x:v>38.29399999999998</x:v>
      </x:c>
      <x:c r="C52" s="59" t="n">
        <x:f>C51*(1-('Scenario Inputs'!F49*'Inputs'!$C$7+(1-'Scenario Inputs'!F49)*'Inputs'!$C$5)-'Inputs'!$C$10-'Inputs'!$C$11)-C10*'Inputs'!$C$13-C15*'Inputs'!$C$14-(C10+C15)*(1-'Scenario Inputs'!F49)*'Inputs'!$C$6-C29-C30-C31</x:f>
        <x:v>237.59823999999998</x:v>
      </x:c>
      <x:c r="D52" s="59" t="n">
        <x:f>D51*(1-('Scenario Inputs'!G49*'Inputs'!$C$7+(1-'Scenario Inputs'!G49)*'Inputs'!$C$5)-'Inputs'!$C$10-'Inputs'!$C$11)-D10*'Inputs'!$C$13-D15*'Inputs'!$C$14-(D10+D15)*(1-'Scenario Inputs'!G49)*'Inputs'!$C$6-D29-D30-D31</x:f>
        <x:v>553.0723103999999</x:v>
      </x:c>
      <x:c r="E52" s="59" t="n">
        <x:f>E51*(1-('Scenario Inputs'!H49*'Inputs'!$C$7+(1-'Scenario Inputs'!H49)*'Inputs'!$C$5)-'Inputs'!$C$10-'Inputs'!$C$11)-E10*'Inputs'!$C$13-E15*'Inputs'!$C$14-(E10+E15)*(1-'Scenario Inputs'!H49)*'Inputs'!$C$6-E29-E30-E31</x:f>
        <x:v>765.922417984</x:v>
      </x:c>
      <x:c r="F52" s="59" t="n">
        <x:f>F51*(1-('Scenario Inputs'!I49*'Inputs'!$C$7+(1-'Scenario Inputs'!I49)*'Inputs'!$C$5)-'Inputs'!$C$10-'Inputs'!$C$11)-F10*'Inputs'!$C$13-F15*'Inputs'!$C$14-(F10+F15)*(1-'Scenario Inputs'!I49)*'Inputs'!$C$6-F29-F30-F31</x:f>
        <x:v>1057.0585212646397</x:v>
      </x:c>
      <x:c r="G52" s="59" t="n">
        <x:f>G51*(1-('Scenario Inputs'!J49*'Inputs'!$C$7+(1-'Scenario Inputs'!J49)*'Inputs'!$C$5)-'Inputs'!$C$10-'Inputs'!$C$11)-G10*'Inputs'!$C$13-G15*'Inputs'!$C$14-(G10+G15)*(1-'Scenario Inputs'!J49)*'Inputs'!$C$6-G29-G30-G31</x:f>
        <x:v>1359.5441804140546</x:v>
      </x:c>
      <x:c r="H52" s="59" t="n">
        <x:f>H51*(1-('Scenario Inputs'!K49*'Inputs'!$C$7+(1-'Scenario Inputs'!K49)*'Inputs'!$C$5)-'Inputs'!$C$10-'Inputs'!$C$11)-H10*'Inputs'!$C$13-H15*'Inputs'!$C$14-(H10+H15)*(1-'Scenario Inputs'!K49)*'Inputs'!$C$6-H29-H30-H31</x:f>
        <x:v>1648.4774131974918</x:v>
      </x:c>
      <x:c r="I52" s="59" t="n">
        <x:f>I51*(1-('Scenario Inputs'!L49*'Inputs'!$C$7+(1-'Scenario Inputs'!L49)*'Inputs'!$C$5)-'Inputs'!$C$10-'Inputs'!$C$11)-I10*'Inputs'!$C$13-I15*'Inputs'!$C$14-(I10+I15)*(1-'Scenario Inputs'!L49)*'Inputs'!$C$6-I29-I30-I31</x:f>
        <x:v>1975.0483166695926</x:v>
      </x:c>
      <x:c r="J52" s="59" t="n">
        <x:f>J51*(1-('Scenario Inputs'!M49*'Inputs'!$C$7+(1-'Scenario Inputs'!M49)*'Inputs'!$C$5)-'Inputs'!$C$10-'Inputs'!$C$11)-J10*'Inputs'!$C$13-J15*'Inputs'!$C$14-(J10+J15)*(1-'Scenario Inputs'!M49)*'Inputs'!$C$6-J29-J30-J31</x:f>
        <x:v>2270.3563840028087</x:v>
      </x:c>
      <x:c r="K52" s="59" t="n">
        <x:f>K51*(1-('Scenario Inputs'!N49*'Inputs'!$C$7+(1-'Scenario Inputs'!N49)*'Inputs'!$C$5)-'Inputs'!$C$10-'Inputs'!$C$11)-K10*'Inputs'!$C$13-K15*'Inputs'!$C$14-(K10+K15)*(1-'Scenario Inputs'!N49)*'Inputs'!$C$6-K29-K30-K31</x:f>
        <x:v>2602.6471286426968</x:v>
      </x:c>
      <x:c r="L52" s="59" t="n">
        <x:f>L51*(1-('Scenario Inputs'!O49*'Inputs'!$C$7+(1-'Scenario Inputs'!O49)*'Inputs'!$C$5)-'Inputs'!$C$10-'Inputs'!$C$11)-L10*'Inputs'!$C$13-L15*'Inputs'!$C$14-(L10+L15)*(1-'Scenario Inputs'!O49)*'Inputs'!$C$6-L29-L30-L31</x:f>
        <x:v>2913.0462434969886</x:v>
      </x:c>
      <x:c r="M52" s="59" t="n">
        <x:f>M51*(1-('Scenario Inputs'!P49*'Inputs'!$C$7+(1-'Scenario Inputs'!P49)*'Inputs'!$C$5)-'Inputs'!$C$10-'Inputs'!$C$11)-M10*'Inputs'!$C$13-M15*'Inputs'!$C$14-(M10+M15)*(1-'Scenario Inputs'!P49)*'Inputs'!$C$6-M29-M30-M31</x:f>
        <x:v>3202.429393757109</x:v>
      </x:c>
    </x:row>
    <x:row r="53" ht="22" customHeight="1">
      <x:c r="A53" s="21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</x:row>
    <x:row r="54" ht="22" customHeight="1">
      <x:c r="A54" s="21" t="str">
        <x:v>Qualified setup opportunities required</x:v>
      </x:c>
      <x:c r="B54" s="57" t="n">
        <x:f>ROUNDUP(IFERROR(B5/'Scenario Inputs'!E50,0),0)</x:f>
        <x:v>40</x:v>
      </x:c>
      <x:c r="C54" s="57" t="n">
        <x:f>ROUNDUP(IFERROR(C5/'Scenario Inputs'!F50,0),0)</x:f>
        <x:v>60</x:v>
      </x:c>
      <x:c r="D54" s="57" t="n">
        <x:f>ROUNDUP(IFERROR(D5/'Scenario Inputs'!G50,0),0)</x:f>
        <x:v>80</x:v>
      </x:c>
      <x:c r="E54" s="57" t="n">
        <x:f>ROUNDUP(IFERROR(E5/'Scenario Inputs'!H50,0),0)</x:f>
        <x:v>80</x:v>
      </x:c>
      <x:c r="F54" s="57" t="n">
        <x:f>ROUNDUP(IFERROR(F5/'Scenario Inputs'!I50,0),0)</x:f>
        <x:v>80</x:v>
      </x:c>
      <x:c r="G54" s="57" t="n">
        <x:f>ROUNDUP(IFERROR(G5/'Scenario Inputs'!J50,0),0)</x:f>
        <x:v>80</x:v>
      </x:c>
      <x:c r="H54" s="57" t="n">
        <x:f>ROUNDUP(IFERROR(H5/'Scenario Inputs'!K50,0),0)</x:f>
        <x:v>100</x:v>
      </x:c>
      <x:c r="I54" s="57" t="n">
        <x:f>ROUNDUP(IFERROR(I5/'Scenario Inputs'!L50,0),0)</x:f>
        <x:v>100</x:v>
      </x:c>
      <x:c r="J54" s="57" t="n">
        <x:f>ROUNDUP(IFERROR(J5/'Scenario Inputs'!M50,0),0)</x:f>
        <x:v>100</x:v>
      </x:c>
      <x:c r="K54" s="57" t="n">
        <x:f>ROUNDUP(IFERROR(K5/'Scenario Inputs'!N50,0),0)</x:f>
        <x:v>100</x:v>
      </x:c>
      <x:c r="L54" s="57" t="n">
        <x:f>ROUNDUP(IFERROR(L5/'Scenario Inputs'!O50,0),0)</x:f>
        <x:v>100</x:v>
      </x:c>
      <x:c r="M54" s="57" t="n">
        <x:f>ROUNDUP(IFERROR(M5/'Scenario Inputs'!P50,0),0)</x:f>
        <x:v>100</x:v>
      </x:c>
    </x:row>
    <x:row r="55" ht="22" customHeight="1">
      <x:c r="A55" s="21" t="str">
        <x:v>Qualified toolkit visitors required</x:v>
      </x:c>
      <x:c r="B55" s="57" t="n">
        <x:f>ROUNDUP(IFERROR('Scenario Inputs'!E38/'Scenario Inputs'!E51,0),0)</x:f>
        <x:v>0</x:v>
      </x:c>
      <x:c r="C55" s="57" t="n">
        <x:f>ROUNDUP(IFERROR('Scenario Inputs'!F38/'Scenario Inputs'!F51,0),0)</x:f>
        <x:v>100</x:v>
      </x:c>
      <x:c r="D55" s="57" t="n">
        <x:f>ROUNDUP(IFERROR('Scenario Inputs'!G38/'Scenario Inputs'!G51,0),0)</x:f>
        <x:v>250</x:v>
      </x:c>
      <x:c r="E55" s="57" t="n">
        <x:f>ROUNDUP(IFERROR('Scenario Inputs'!H38/'Scenario Inputs'!H51,0),0)</x:f>
        <x:v>400</x:v>
      </x:c>
      <x:c r="F55" s="57" t="n">
        <x:f>ROUNDUP(IFERROR('Scenario Inputs'!I38/'Scenario Inputs'!I51,0),0)</x:f>
        <x:v>500</x:v>
      </x:c>
      <x:c r="G55" s="57" t="n">
        <x:f>ROUNDUP(IFERROR('Scenario Inputs'!J38/'Scenario Inputs'!J51,0),0)</x:f>
        <x:v>600</x:v>
      </x:c>
      <x:c r="H55" s="57" t="n">
        <x:f>ROUNDUP(IFERROR('Scenario Inputs'!K38/'Scenario Inputs'!K51,0),0)</x:f>
        <x:v>750</x:v>
      </x:c>
      <x:c r="I55" s="57" t="n">
        <x:f>ROUNDUP(IFERROR('Scenario Inputs'!L38/'Scenario Inputs'!L51,0),0)</x:f>
        <x:v>900</x:v>
      </x:c>
      <x:c r="J55" s="57" t="n">
        <x:f>ROUNDUP(IFERROR('Scenario Inputs'!M38/'Scenario Inputs'!M51,0),0)</x:f>
        <x:v>1000</x:v>
      </x:c>
      <x:c r="K55" s="57" t="n">
        <x:f>ROUNDUP(IFERROR('Scenario Inputs'!N38/'Scenario Inputs'!N51,0),0)</x:f>
        <x:v>1250</x:v>
      </x:c>
      <x:c r="L55" s="57" t="n">
        <x:f>ROUNDUP(IFERROR('Scenario Inputs'!O38/'Scenario Inputs'!O51,0),0)</x:f>
        <x:v>1500</x:v>
      </x:c>
      <x:c r="M55" s="57" t="n">
        <x:f>ROUNDUP(IFERROR('Scenario Inputs'!P38/'Scenario Inputs'!P51,0),0)</x:f>
        <x:v>1750</x:v>
      </x:c>
    </x:row>
    <x:row r="56" ht="22" customHeight="1">
      <x:c r="A56" s="21" t="str">
        <x:v>New monitoring site commitments needed</x:v>
      </x:c>
      <x:c r="B56" s="57" t="n">
        <x:f>B14</x:f>
        <x:v>0</x:v>
      </x:c>
      <x:c r="C56" s="57" t="n">
        <x:f>C14</x:f>
        <x:v>1</x:v>
      </x:c>
      <x:c r="D56" s="57" t="n">
        <x:f>D14</x:f>
        <x:v>2</x:v>
      </x:c>
      <x:c r="E56" s="57" t="n">
        <x:f>E14</x:f>
        <x:v>3</x:v>
      </x:c>
      <x:c r="F56" s="57" t="n">
        <x:f>F14</x:f>
        <x:v>3</x:v>
      </x:c>
      <x:c r="G56" s="57" t="n">
        <x:f>G14</x:f>
        <x:v>4</x:v>
      </x:c>
      <x:c r="H56" s="57" t="n">
        <x:f>H14</x:f>
        <x:v>4</x:v>
      </x:c>
      <x:c r="I56" s="57" t="n">
        <x:f>I14</x:f>
        <x:v>5</x:v>
      </x:c>
      <x:c r="J56" s="57" t="n">
        <x:f>J14</x:f>
        <x:v>5</x:v>
      </x:c>
      <x:c r="K56" s="57" t="n">
        <x:f>K14</x:f>
        <x:v>6</x:v>
      </x:c>
      <x:c r="L56" s="57" t="n">
        <x:f>L14</x:f>
        <x:v>6</x:v>
      </x:c>
      <x:c r="M56" s="57" t="n">
        <x:f>M14</x:f>
        <x:v>6</x:v>
      </x:c>
    </x:row>
    <x:row r="57" ht="22" customHeight="1">
      <x:c r="A57" s="21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</x:row>
    <x:row r="58" ht="22" customHeight="1">
      <x:c r="A58" s="21" t="str">
        <x:v>Illustrative tax cash reserve — not tax owed</x:v>
      </x:c>
      <x:c r="B58" s="59" t="n">
        <x:f>MAX(B35,0)*'Inputs'!$C$18</x:f>
        <x:v>123.04109999999997</x:v>
      </x:c>
      <x:c r="C58" s="59" t="n">
        <x:f>MAX(C35,0)*'Inputs'!$C$18</x:f>
        <x:v>621.772836</x:v>
      </x:c>
      <x:c r="D58" s="59" t="n">
        <x:f>MAX(D35,0)*'Inputs'!$C$18</x:f>
        <x:v>947.1165825599998</x:v>
      </x:c>
      <x:c r="E58" s="59" t="n">
        <x:f>MAX(E35,0)*'Inputs'!$C$18</x:f>
        <x:v>1076.4937092575997</x:v>
      </x:c>
      <x:c r="F58" s="59" t="n">
        <x:f>MAX(F35,0)*'Inputs'!$C$18</x:f>
        <x:v>1188.811640887296</x:v>
      </x:c>
      <x:c r="G58" s="59" t="n">
        <x:f>MAX(G35,0)*'Inputs'!$C$18</x:f>
        <x:v>1333.998405251804</x:v>
      </x:c>
      <x:c r="H58" s="59" t="n">
        <x:f>MAX(H35,0)*'Inputs'!$C$18</x:f>
        <x:v>1622.9147390417318</x:v>
      </x:c>
      <x:c r="I58" s="59" t="n">
        <x:f>MAX(I35,0)*'Inputs'!$C$18</x:f>
        <x:v>1787.1188594800628</x:v>
      </x:c>
      <x:c r="J58" s="59" t="n">
        <x:f>MAX(J35,0)*'Inputs'!$C$18</x:f>
        <x:v>1901.3707051008605</x:v>
      </x:c>
      <x:c r="K58" s="59" t="n">
        <x:f>MAX(K35,0)*'Inputs'!$C$18</x:f>
        <x:v>2089.859026896826</x:v>
      </x:c>
      <x:c r="L58" s="59" t="n">
        <x:f>MAX(L35,0)*'Inputs'!$C$18</x:f>
        <x:v>2242.437505820953</x:v>
      </x:c>
      <x:c r="M58" s="59" t="n">
        <x:f>MAX(M35,0)*'Inputs'!$C$18</x:f>
        <x:v>2388.579845588114</x:v>
      </x:c>
    </x:row>
    <x:row r="59" ht="22" customHeight="1">
      <x:c r="A59" s="21" t="str">
        <x:v>Profit less illustrative reserve</x:v>
      </x:c>
      <x:c r="B59" s="59" t="n">
        <x:f>B35-B58</x:f>
        <x:v>287.0959</x:v>
      </x:c>
      <x:c r="C59" s="59" t="n">
        <x:f>C35-C58</x:f>
        <x:v>1450.803284</x:v>
      </x:c>
      <x:c r="D59" s="59" t="n">
        <x:f>D35-D58</x:f>
        <x:v>2209.9386926399998</x:v>
      </x:c>
      <x:c r="E59" s="59" t="n">
        <x:f>E35-E58</x:f>
        <x:v>2511.8186549343995</x:v>
      </x:c>
      <x:c r="F59" s="59" t="n">
        <x:f>F35-F58</x:f>
        <x:v>2773.8938287370243</x:v>
      </x:c>
      <x:c r="G59" s="59" t="n">
        <x:f>G35-G58</x:f>
        <x:v>3112.6629455875427</x:v>
      </x:c>
      <x:c r="H59" s="59" t="n">
        <x:f>H35-H58</x:f>
        <x:v>3786.8010577640407</x:v>
      </x:c>
      <x:c r="I59" s="59" t="n">
        <x:f>I35-I58</x:f>
        <x:v>4169.944005453481</x:v>
      </x:c>
      <x:c r="J59" s="59" t="n">
        <x:f>J35-J58</x:f>
        <x:v>4436.531645235342</x:v>
      </x:c>
      <x:c r="K59" s="59" t="n">
        <x:f>K35-K58</x:f>
        <x:v>4876.337729425928</x:v>
      </x:c>
      <x:c r="L59" s="59" t="n">
        <x:f>L35-L58</x:f>
        <x:v>5232.354180248891</x:v>
      </x:c>
      <x:c r="M59" s="59" t="n">
        <x:f>M35-M58</x:f>
        <x:v>5573.352973038934</x:v>
      </x:c>
    </x:row>
    <x:row r="60" ht="2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</x:row>
    <x:row r="61" ht="48" customHeight="1">
      <x:c r="A61" s="22" t="str">
        <x:v>Data notes</x:v>
      </x:c>
      <x:c r="B61" s="22" t="str">
        <x:v>Recurring-only contribution proxy = exit MRR less its variable/fee reserves and ALL modeled fixed, marketing and contractor costs. It excludes new setup/kit revenue, owner time and tax; it is not passive take-home pay.</x:v>
      </x:c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</x:row>
  </x:sheetData>
  <x:mergeCells>
    <x:mergeCell ref="A1:M1"/>
    <x:mergeCell ref="A2:M2"/>
    <x:mergeCell ref="B61:M6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2" customHeight="1">
      <x:c r="A1" s="3" t="str">
        <x:v>OPTIMISTIC — 12-MONTH OPERATING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CAD • earned revenue, not bank settlements • no income tax/owner wage deducted from operating profit • scenario is conditional.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54" t="str">
        <x:v>Metric / CAD unless stated</x:v>
      </x:c>
      <x:c r="B4" s="54" t="str">
        <x:v>Month 1</x:v>
      </x:c>
      <x:c r="C4" s="54" t="str">
        <x:v>Month 2</x:v>
      </x:c>
      <x:c r="D4" s="54" t="str">
        <x:v>Month 3</x:v>
      </x:c>
      <x:c r="E4" s="54" t="str">
        <x:v>Month 4</x:v>
      </x:c>
      <x:c r="F4" s="54" t="str">
        <x:v>Month 5</x:v>
      </x:c>
      <x:c r="G4" s="54" t="str">
        <x:v>Month 6</x:v>
      </x:c>
      <x:c r="H4" s="54" t="str">
        <x:v>Month 7</x:v>
      </x:c>
      <x:c r="I4" s="54" t="str">
        <x:v>Month 8</x:v>
      </x:c>
      <x:c r="J4" s="54" t="str">
        <x:v>Month 9</x:v>
      </x:c>
      <x:c r="K4" s="54" t="str">
        <x:v>Month 10</x:v>
      </x:c>
      <x:c r="L4" s="54" t="str">
        <x:v>Month 11</x:v>
      </x:c>
      <x:c r="M4" s="54" t="str">
        <x:v>Month 12</x:v>
      </x:c>
    </x:row>
    <x:row r="5" ht="22" customHeight="1">
      <x:c r="A5" s="21" t="str">
        <x:v>New reporting setups delivered</x:v>
      </x:c>
      <x:c r="B5" s="81" t="n">
        <x:f>'Scenario Inputs'!E53</x:f>
        <x:v>3</x:v>
      </x:c>
      <x:c r="C5" s="81" t="n">
        <x:f>'Scenario Inputs'!F53</x:f>
        <x:v>5</x:v>
      </x:c>
      <x:c r="D5" s="81" t="n">
        <x:f>'Scenario Inputs'!G53</x:f>
        <x:v>6</x:v>
      </x:c>
      <x:c r="E5" s="81" t="n">
        <x:f>'Scenario Inputs'!H53</x:f>
        <x:v>8</x:v>
      </x:c>
      <x:c r="F5" s="81" t="n">
        <x:f>'Scenario Inputs'!I53</x:f>
        <x:v>8</x:v>
      </x:c>
      <x:c r="G5" s="81" t="n">
        <x:f>'Scenario Inputs'!J53</x:f>
        <x:v>10</x:v>
      </x:c>
      <x:c r="H5" s="81" t="n">
        <x:f>'Scenario Inputs'!K53</x:f>
        <x:v>10</x:v>
      </x:c>
      <x:c r="I5" s="81" t="n">
        <x:f>'Scenario Inputs'!L53</x:f>
        <x:v>12</x:v>
      </x:c>
      <x:c r="J5" s="81" t="n">
        <x:f>'Scenario Inputs'!M53</x:f>
        <x:v>12</x:v>
      </x:c>
      <x:c r="K5" s="81" t="n">
        <x:f>'Scenario Inputs'!N53</x:f>
        <x:v>14</x:v>
      </x:c>
      <x:c r="L5" s="81" t="n">
        <x:f>'Scenario Inputs'!O53</x:f>
        <x:v>14</x:v>
      </x:c>
      <x:c r="M5" s="81" t="n">
        <x:f>'Scenario Inputs'!P53</x:f>
        <x:v>16</x:v>
      </x:c>
    </x:row>
    <x:row r="6" ht="22" customHeight="1">
      <x:c r="A6" s="21" t="str">
        <x:v>Average setup price (CAD)</x:v>
      </x:c>
      <x:c r="B6" s="83" t="n">
        <x:f>'Scenario Inputs'!E54</x:f>
        <x:v>499</x:v>
      </x:c>
      <x:c r="C6" s="83" t="n">
        <x:f>'Scenario Inputs'!F54</x:f>
        <x:v>899</x:v>
      </x:c>
      <x:c r="D6" s="83" t="n">
        <x:f>'Scenario Inputs'!G54</x:f>
        <x:v>899</x:v>
      </x:c>
      <x:c r="E6" s="83" t="n">
        <x:f>'Scenario Inputs'!H54</x:f>
        <x:v>899</x:v>
      </x:c>
      <x:c r="F6" s="83" t="n">
        <x:f>'Scenario Inputs'!I54</x:f>
        <x:v>899</x:v>
      </x:c>
      <x:c r="G6" s="83" t="n">
        <x:f>'Scenario Inputs'!J54</x:f>
        <x:v>999</x:v>
      </x:c>
      <x:c r="H6" s="83" t="n">
        <x:f>'Scenario Inputs'!K54</x:f>
        <x:v>999</x:v>
      </x:c>
      <x:c r="I6" s="83" t="n">
        <x:f>'Scenario Inputs'!L54</x:f>
        <x:v>999</x:v>
      </x:c>
      <x:c r="J6" s="83" t="n">
        <x:f>'Scenario Inputs'!M54</x:f>
        <x:v>999</x:v>
      </x:c>
      <x:c r="K6" s="83" t="n">
        <x:f>'Scenario Inputs'!N54</x:f>
        <x:v>999</x:v>
      </x:c>
      <x:c r="L6" s="83" t="n">
        <x:f>'Scenario Inputs'!O54</x:f>
        <x:v>999</x:v>
      </x:c>
      <x:c r="M6" s="83" t="n">
        <x:f>'Scenario Inputs'!P54</x:f>
        <x:v>999</x:v>
      </x:c>
    </x:row>
    <x:row r="7" ht="22" customHeight="1">
      <x:c r="A7" s="21" t="str">
        <x:v>Care clients — opening</x:v>
      </x:c>
      <x:c r="B7" s="57" t="n">
        <x:f>0</x:f>
        <x:v>0</x:v>
      </x:c>
      <x:c r="C7" s="57" t="n">
        <x:f>B10</x:f>
        <x:v>2.25</x:v>
      </x:c>
      <x:c r="D7" s="57" t="n">
        <x:f>C10</x:f>
        <x:v>5.94375</x:v>
      </x:c>
      <x:c r="E7" s="57" t="n">
        <x:f>D10</x:f>
        <x:v>10.29515625</x:v>
      </x:c>
      <x:c r="F7" s="57" t="n">
        <x:f>E10</x:f>
        <x:v>16.03777734375</x:v>
      </x:c>
      <x:c r="G7" s="57" t="n">
        <x:f>F10</x:f>
        <x:v>21.63683291015625</x:v>
      </x:c>
      <x:c r="H7" s="57" t="n">
        <x:f>G10</x:f>
        <x:v>28.595912087402343</x:v>
      </x:c>
      <x:c r="I7" s="57" t="n">
        <x:f>H10</x:f>
        <x:v>35.38101428521728</x:v>
      </x:c>
      <x:c r="J7" s="57" t="n">
        <x:f>I10</x:f>
        <x:v>43.49648892808685</x:v>
      </x:c>
      <x:c r="K7" s="57" t="n">
        <x:f>J10</x:f>
        <x:v>51.409076704884676</x:v>
      </x:c>
      <x:c r="L7" s="57" t="n">
        <x:f>K10</x:f>
        <x:v>60.62384978726256</x:v>
      </x:c>
      <x:c r="M7" s="57" t="n">
        <x:f>L10</x:f>
        <x:v>69.608253542581</x:v>
      </x:c>
    </x:row>
    <x:row r="8" ht="22" customHeight="1">
      <x:c r="A8" s="21" t="str">
        <x:v>Care clients lost to churn</x:v>
      </x:c>
      <x:c r="B8" s="57" t="n">
        <x:f>B7*'Scenario Inputs'!E56</x:f>
        <x:v>0</x:v>
      </x:c>
      <x:c r="C8" s="57" t="n">
        <x:f>C7*'Scenario Inputs'!F56</x:f>
        <x:v>0.05625</x:v>
      </x:c>
      <x:c r="D8" s="57" t="n">
        <x:f>D7*'Scenario Inputs'!G56</x:f>
        <x:v>0.14859375</x:v>
      </x:c>
      <x:c r="E8" s="57" t="n">
        <x:f>E7*'Scenario Inputs'!H56</x:f>
        <x:v>0.25737890625</x:v>
      </x:c>
      <x:c r="F8" s="57" t="n">
        <x:f>F7*'Scenario Inputs'!I56</x:f>
        <x:v>0.40094443359375004</x:v>
      </x:c>
      <x:c r="G8" s="57" t="n">
        <x:f>G7*'Scenario Inputs'!J56</x:f>
        <x:v>0.5409208227539063</x:v>
      </x:c>
      <x:c r="H8" s="57" t="n">
        <x:f>H7*'Scenario Inputs'!K56</x:f>
        <x:v>0.7148978021850586</x:v>
      </x:c>
      <x:c r="I8" s="57" t="n">
        <x:f>I7*'Scenario Inputs'!L56</x:f>
        <x:v>0.8845253571304321</x:v>
      </x:c>
      <x:c r="J8" s="57" t="n">
        <x:f>J7*'Scenario Inputs'!M56</x:f>
        <x:v>1.0874122232021712</x:v>
      </x:c>
      <x:c r="K8" s="57" t="n">
        <x:f>K7*'Scenario Inputs'!N56</x:f>
        <x:v>1.285226917622117</x:v>
      </x:c>
      <x:c r="L8" s="57" t="n">
        <x:f>L7*'Scenario Inputs'!O56</x:f>
        <x:v>1.515596244681564</x:v>
      </x:c>
      <x:c r="M8" s="57" t="n">
        <x:f>M7*'Scenario Inputs'!P56</x:f>
        <x:v>1.740206338564525</x:v>
      </x:c>
    </x:row>
    <x:row r="9" ht="22" customHeight="1">
      <x:c r="A9" s="21" t="str">
        <x:v>New care clients</x:v>
      </x:c>
      <x:c r="B9" s="57" t="n">
        <x:f>B5*'Scenario Inputs'!E55</x:f>
        <x:v>2.25</x:v>
      </x:c>
      <x:c r="C9" s="57" t="n">
        <x:f>C5*'Scenario Inputs'!F55</x:f>
        <x:v>3.75</x:v>
      </x:c>
      <x:c r="D9" s="57" t="n">
        <x:f>D5*'Scenario Inputs'!G55</x:f>
        <x:v>4.5</x:v>
      </x:c>
      <x:c r="E9" s="57" t="n">
        <x:f>E5*'Scenario Inputs'!H55</x:f>
        <x:v>6</x:v>
      </x:c>
      <x:c r="F9" s="57" t="n">
        <x:f>F5*'Scenario Inputs'!I55</x:f>
        <x:v>6</x:v>
      </x:c>
      <x:c r="G9" s="57" t="n">
        <x:f>G5*'Scenario Inputs'!J55</x:f>
        <x:v>7.5</x:v>
      </x:c>
      <x:c r="H9" s="57" t="n">
        <x:f>H5*'Scenario Inputs'!K55</x:f>
        <x:v>7.5</x:v>
      </x:c>
      <x:c r="I9" s="57" t="n">
        <x:f>I5*'Scenario Inputs'!L55</x:f>
        <x:v>9</x:v>
      </x:c>
      <x:c r="J9" s="57" t="n">
        <x:f>J5*'Scenario Inputs'!M55</x:f>
        <x:v>9</x:v>
      </x:c>
      <x:c r="K9" s="57" t="n">
        <x:f>K5*'Scenario Inputs'!N55</x:f>
        <x:v>10.5</x:v>
      </x:c>
      <x:c r="L9" s="57" t="n">
        <x:f>L5*'Scenario Inputs'!O55</x:f>
        <x:v>10.5</x:v>
      </x:c>
      <x:c r="M9" s="57" t="n">
        <x:f>M5*'Scenario Inputs'!P55</x:f>
        <x:v>12</x:v>
      </x:c>
    </x:row>
    <x:row r="10" ht="22" customHeight="1">
      <x:c r="A10" s="21" t="str">
        <x:v>Care clients — closing</x:v>
      </x:c>
      <x:c r="B10" s="57" t="n">
        <x:f>B7-B8+B9</x:f>
        <x:v>2.25</x:v>
      </x:c>
      <x:c r="C10" s="57" t="n">
        <x:f>C7-C8+C9</x:f>
        <x:v>5.94375</x:v>
      </x:c>
      <x:c r="D10" s="57" t="n">
        <x:f>D7-D8+D9</x:f>
        <x:v>10.29515625</x:v>
      </x:c>
      <x:c r="E10" s="57" t="n">
        <x:f>E7-E8+E9</x:f>
        <x:v>16.03777734375</x:v>
      </x:c>
      <x:c r="F10" s="57" t="n">
        <x:f>F7-F8+F9</x:f>
        <x:v>21.63683291015625</x:v>
      </x:c>
      <x:c r="G10" s="57" t="n">
        <x:f>G7-G8+G9</x:f>
        <x:v>28.595912087402343</x:v>
      </x:c>
      <x:c r="H10" s="57" t="n">
        <x:f>H7-H8+H9</x:f>
        <x:v>35.38101428521728</x:v>
      </x:c>
      <x:c r="I10" s="57" t="n">
        <x:f>I7-I8+I9</x:f>
        <x:v>43.49648892808685</x:v>
      </x:c>
      <x:c r="J10" s="57" t="n">
        <x:f>J7-J8+J9</x:f>
        <x:v>51.409076704884676</x:v>
      </x:c>
      <x:c r="K10" s="57" t="n">
        <x:f>K7-K8+K9</x:f>
        <x:v>60.62384978726256</x:v>
      </x:c>
      <x:c r="L10" s="57" t="n">
        <x:f>L7-L8+L9</x:f>
        <x:v>69.608253542581</x:v>
      </x:c>
      <x:c r="M10" s="57" t="n">
        <x:f>M7-M8+M9</x:f>
        <x:v>79.86804720401648</x:v>
      </x:c>
    </x:row>
    <x:row r="11" ht="22" customHeight="1">
      <x:c r="A11" s="21" t="str">
        <x:v>Care clients — average billed</x:v>
      </x:c>
      <x:c r="B11" s="57" t="n">
        <x:f>(B7+B10)/2</x:f>
        <x:v>1.125</x:v>
      </x:c>
      <x:c r="C11" s="57" t="n">
        <x:f>(C7+C10)/2</x:f>
        <x:v>4.096875</x:v>
      </x:c>
      <x:c r="D11" s="57" t="n">
        <x:f>(D7+D10)/2</x:f>
        <x:v>8.119453125</x:v>
      </x:c>
      <x:c r="E11" s="57" t="n">
        <x:f>(E7+E10)/2</x:f>
        <x:v>13.166466796875</x:v>
      </x:c>
      <x:c r="F11" s="57" t="n">
        <x:f>(F7+F10)/2</x:f>
        <x:v>18.837305126953126</x:v>
      </x:c>
      <x:c r="G11" s="57" t="n">
        <x:f>(G7+G10)/2</x:f>
        <x:v>25.1163724987793</x:v>
      </x:c>
      <x:c r="H11" s="57" t="n">
        <x:f>(H7+H10)/2</x:f>
        <x:v>31.988463186309815</x:v>
      </x:c>
      <x:c r="I11" s="57" t="n">
        <x:f>(I7+I10)/2</x:f>
        <x:v>39.43875160665206</x:v>
      </x:c>
      <x:c r="J11" s="57" t="n">
        <x:f>(J7+J10)/2</x:f>
        <x:v>47.452782816485765</x:v>
      </x:c>
      <x:c r="K11" s="57" t="n">
        <x:f>(K7+K10)/2</x:f>
        <x:v>56.01646324607361</x:v>
      </x:c>
      <x:c r="L11" s="57" t="n">
        <x:f>(L7+L10)/2</x:f>
        <x:v>65.11605166492177</x:v>
      </x:c>
      <x:c r="M11" s="57" t="n">
        <x:f>(M7+M10)/2</x:f>
        <x:v>74.73815037329874</x:v>
      </x:c>
    </x:row>
    <x:row r="12" ht="22" customHeight="1">
      <x:c r="A12" s="21" t="str">
        <x:v>Monitored sites — opening</x:v>
      </x:c>
      <x:c r="B12" s="57" t="n">
        <x:f>0</x:f>
        <x:v>0</x:v>
      </x:c>
      <x:c r="C12" s="57" t="n">
        <x:f>B15</x:f>
        <x:v>0</x:v>
      </x:c>
      <x:c r="D12" s="57" t="n">
        <x:f>C15</x:f>
        <x:v>3</x:v>
      </x:c>
      <x:c r="E12" s="57" t="n">
        <x:f>D15</x:f>
        <x:v>7.925</x:v>
      </x:c>
      <x:c r="F12" s="57" t="n">
        <x:f>E15</x:f>
        <x:v>15.726875</x:v>
      </x:c>
      <x:c r="G12" s="57" t="n">
        <x:f>F15</x:f>
        <x:v>25.333703125</x:v>
      </x:c>
      <x:c r="H12" s="57" t="n">
        <x:f>G15</x:f>
        <x:v>36.700360546875004</x:v>
      </x:c>
      <x:c r="I12" s="57" t="n">
        <x:f>H15</x:f>
        <x:v>50.78285153320313</x:v>
      </x:c>
      <x:c r="J12" s="57" t="n">
        <x:f>I15</x:f>
        <x:v>67.51328024487304</x:v>
      </x:c>
      <x:c r="K12" s="57" t="n">
        <x:f>J15</x:f>
        <x:v>85.82544823875122</x:v>
      </x:c>
      <x:c r="L12" s="57" t="n">
        <x:f>K15</x:f>
        <x:v>108.67981203278244</x:v>
      </x:c>
      <x:c r="M12" s="57" t="n">
        <x:f>L15</x:f>
        <x:v>130.96281673196287</x:v>
      </x:c>
    </x:row>
    <x:row r="13" ht="22" customHeight="1">
      <x:c r="A13" s="21" t="str">
        <x:v>Sites lost to churn</x:v>
      </x:c>
      <x:c r="B13" s="57" t="n">
        <x:f>B12*'Scenario Inputs'!E59</x:f>
        <x:v>0</x:v>
      </x:c>
      <x:c r="C13" s="57" t="n">
        <x:f>C12*'Scenario Inputs'!F59</x:f>
        <x:v>0</x:v>
      </x:c>
      <x:c r="D13" s="57" t="n">
        <x:f>D12*'Scenario Inputs'!G59</x:f>
        <x:v>0.07500000000000001</x:v>
      </x:c>
      <x:c r="E13" s="57" t="n">
        <x:f>E12*'Scenario Inputs'!H59</x:f>
        <x:v>0.198125</x:v>
      </x:c>
      <x:c r="F13" s="57" t="n">
        <x:f>F12*'Scenario Inputs'!I59</x:f>
        <x:v>0.393171875</x:v>
      </x:c>
      <x:c r="G13" s="57" t="n">
        <x:f>G12*'Scenario Inputs'!J59</x:f>
        <x:v>0.633342578125</x:v>
      </x:c>
      <x:c r="H13" s="57" t="n">
        <x:f>H12*'Scenario Inputs'!K59</x:f>
        <x:v>0.9175090136718751</x:v>
      </x:c>
      <x:c r="I13" s="57" t="n">
        <x:f>I12*'Scenario Inputs'!L59</x:f>
        <x:v>1.2695712883300783</x:v>
      </x:c>
      <x:c r="J13" s="57" t="n">
        <x:f>J12*'Scenario Inputs'!M59</x:f>
        <x:v>1.6878320061218262</x:v>
      </x:c>
      <x:c r="K13" s="57" t="n">
        <x:f>K12*'Scenario Inputs'!N59</x:f>
        <x:v>2.145636205968781</x:v>
      </x:c>
      <x:c r="L13" s="57" t="n">
        <x:f>L12*'Scenario Inputs'!O59</x:f>
        <x:v>2.716995300819561</x:v>
      </x:c>
      <x:c r="M13" s="57" t="n">
        <x:f>M12*'Scenario Inputs'!P59</x:f>
        <x:v>3.274070418299072</x:v>
      </x:c>
    </x:row>
    <x:row r="14" ht="22" customHeight="1">
      <x:c r="A14" s="21" t="str">
        <x:v>New monitored sites</x:v>
      </x:c>
      <x:c r="B14" s="81" t="n">
        <x:f>'Scenario Inputs'!E58</x:f>
        <x:v>0</x:v>
      </x:c>
      <x:c r="C14" s="81" t="n">
        <x:f>'Scenario Inputs'!F58</x:f>
        <x:v>3</x:v>
      </x:c>
      <x:c r="D14" s="81" t="n">
        <x:f>'Scenario Inputs'!G58</x:f>
        <x:v>5</x:v>
      </x:c>
      <x:c r="E14" s="81" t="n">
        <x:f>'Scenario Inputs'!H58</x:f>
        <x:v>8</x:v>
      </x:c>
      <x:c r="F14" s="81" t="n">
        <x:f>'Scenario Inputs'!I58</x:f>
        <x:v>10</x:v>
      </x:c>
      <x:c r="G14" s="81" t="n">
        <x:f>'Scenario Inputs'!J58</x:f>
        <x:v>12</x:v>
      </x:c>
      <x:c r="H14" s="81" t="n">
        <x:f>'Scenario Inputs'!K58</x:f>
        <x:v>15</x:v>
      </x:c>
      <x:c r="I14" s="81" t="n">
        <x:f>'Scenario Inputs'!L58</x:f>
        <x:v>18</x:v>
      </x:c>
      <x:c r="J14" s="81" t="n">
        <x:f>'Scenario Inputs'!M58</x:f>
        <x:v>20</x:v>
      </x:c>
      <x:c r="K14" s="81" t="n">
        <x:f>'Scenario Inputs'!N58</x:f>
        <x:v>25</x:v>
      </x:c>
      <x:c r="L14" s="81" t="n">
        <x:f>'Scenario Inputs'!O58</x:f>
        <x:v>25</x:v>
      </x:c>
      <x:c r="M14" s="81" t="n">
        <x:f>'Scenario Inputs'!P58</x:f>
        <x:v>30</x:v>
      </x:c>
    </x:row>
    <x:row r="15" ht="22" customHeight="1">
      <x:c r="A15" s="21" t="str">
        <x:v>Monitored sites — closing</x:v>
      </x:c>
      <x:c r="B15" s="57" t="n">
        <x:f>B12-B13+B14</x:f>
        <x:v>0</x:v>
      </x:c>
      <x:c r="C15" s="57" t="n">
        <x:f>C12-C13+C14</x:f>
        <x:v>3</x:v>
      </x:c>
      <x:c r="D15" s="57" t="n">
        <x:f>D12-D13+D14</x:f>
        <x:v>7.925</x:v>
      </x:c>
      <x:c r="E15" s="57" t="n">
        <x:f>E12-E13+E14</x:f>
        <x:v>15.726875</x:v>
      </x:c>
      <x:c r="F15" s="57" t="n">
        <x:f>F12-F13+F14</x:f>
        <x:v>25.333703125</x:v>
      </x:c>
      <x:c r="G15" s="57" t="n">
        <x:f>G12-G13+G14</x:f>
        <x:v>36.700360546875004</x:v>
      </x:c>
      <x:c r="H15" s="57" t="n">
        <x:f>H12-H13+H14</x:f>
        <x:v>50.78285153320313</x:v>
      </x:c>
      <x:c r="I15" s="57" t="n">
        <x:f>I12-I13+I14</x:f>
        <x:v>67.51328024487304</x:v>
      </x:c>
      <x:c r="J15" s="57" t="n">
        <x:f>J12-J13+J14</x:f>
        <x:v>85.82544823875122</x:v>
      </x:c>
      <x:c r="K15" s="57" t="n">
        <x:f>K12-K13+K14</x:f>
        <x:v>108.67981203278244</x:v>
      </x:c>
      <x:c r="L15" s="57" t="n">
        <x:f>L12-L13+L14</x:f>
        <x:v>130.96281673196287</x:v>
      </x:c>
      <x:c r="M15" s="57" t="n">
        <x:f>M12-M13+M14</x:f>
        <x:v>157.68874631366378</x:v>
      </x:c>
    </x:row>
    <x:row r="16" ht="22" customHeight="1">
      <x:c r="A16" s="21" t="str">
        <x:v>Sites — average billed</x:v>
      </x:c>
      <x:c r="B16" s="57" t="n">
        <x:f>(B12+B15)/2</x:f>
        <x:v>0</x:v>
      </x:c>
      <x:c r="C16" s="57" t="n">
        <x:f>(C12+C15)/2</x:f>
        <x:v>1.5</x:v>
      </x:c>
      <x:c r="D16" s="57" t="n">
        <x:f>(D12+D15)/2</x:f>
        <x:v>5.4625</x:v>
      </x:c>
      <x:c r="E16" s="57" t="n">
        <x:f>(E12+E15)/2</x:f>
        <x:v>11.8259375</x:v>
      </x:c>
      <x:c r="F16" s="57" t="n">
        <x:f>(F12+F15)/2</x:f>
        <x:v>20.5302890625</x:v>
      </x:c>
      <x:c r="G16" s="57" t="n">
        <x:f>(G12+G15)/2</x:f>
        <x:v>31.0170318359375</x:v>
      </x:c>
      <x:c r="H16" s="57" t="n">
        <x:f>(H12+H15)/2</x:f>
        <x:v>43.741606040039066</x:v>
      </x:c>
      <x:c r="I16" s="57" t="n">
        <x:f>(I12+I15)/2</x:f>
        <x:v>59.14806588903809</x:v>
      </x:c>
      <x:c r="J16" s="57" t="n">
        <x:f>(J12+J15)/2</x:f>
        <x:v>76.66936424181213</x:v>
      </x:c>
      <x:c r="K16" s="57" t="n">
        <x:f>(K12+K15)/2</x:f>
        <x:v>97.25263013576682</x:v>
      </x:c>
      <x:c r="L16" s="57" t="n">
        <x:f>(L12+L15)/2</x:f>
        <x:v>119.82131438237266</x:v>
      </x:c>
      <x:c r="M16" s="57" t="n">
        <x:f>(M12+M15)/2</x:f>
        <x:v>144.32578152281332</x:v>
      </x:c>
    </x:row>
    <x:row r="17" ht="22" customHeight="1">
      <x:c r="A17" s="21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</x:row>
    <x:row r="18" ht="22" customHeight="1">
      <x:c r="A18" s="21" t="str">
        <x:v>Reporting setup revenue</x:v>
      </x:c>
      <x:c r="B18" s="59" t="n">
        <x:f>B5*B6</x:f>
        <x:v>1497</x:v>
      </x:c>
      <x:c r="C18" s="59" t="n">
        <x:f>C5*C6</x:f>
        <x:v>4495</x:v>
      </x:c>
      <x:c r="D18" s="59" t="n">
        <x:f>D5*D6</x:f>
        <x:v>5394</x:v>
      </x:c>
      <x:c r="E18" s="59" t="n">
        <x:f>E5*E6</x:f>
        <x:v>7192</x:v>
      </x:c>
      <x:c r="F18" s="59" t="n">
        <x:f>F5*F6</x:f>
        <x:v>7192</x:v>
      </x:c>
      <x:c r="G18" s="59" t="n">
        <x:f>G5*G6</x:f>
        <x:v>9990</x:v>
      </x:c>
      <x:c r="H18" s="59" t="n">
        <x:f>H5*H6</x:f>
        <x:v>9990</x:v>
      </x:c>
      <x:c r="I18" s="59" t="n">
        <x:f>I5*I6</x:f>
        <x:v>11988</x:v>
      </x:c>
      <x:c r="J18" s="59" t="n">
        <x:f>J5*J6</x:f>
        <x:v>11988</x:v>
      </x:c>
      <x:c r="K18" s="59" t="n">
        <x:f>K5*K6</x:f>
        <x:v>13986</x:v>
      </x:c>
      <x:c r="L18" s="59" t="n">
        <x:f>L5*L6</x:f>
        <x:v>13986</x:v>
      </x:c>
      <x:c r="M18" s="59" t="n">
        <x:f>M5*M6</x:f>
        <x:v>15984</x:v>
      </x:c>
    </x:row>
    <x:row r="19" ht="22" customHeight="1">
      <x:c r="A19" s="21" t="str">
        <x:v>Care subscription revenue</x:v>
      </x:c>
      <x:c r="B19" s="59" t="n">
        <x:f>B11*'Scenario Inputs'!E57</x:f>
        <x:v>280.125</x:v>
      </x:c>
      <x:c r="C19" s="59" t="n">
        <x:f>C11*'Scenario Inputs'!F57</x:f>
        <x:v>1020.1218749999999</x:v>
      </x:c>
      <x:c r="D19" s="59" t="n">
        <x:f>D11*'Scenario Inputs'!G57</x:f>
        <x:v>2021.743828125</x:v>
      </x:c>
      <x:c r="E19" s="59" t="n">
        <x:f>E11*'Scenario Inputs'!H57</x:f>
        <x:v>3278.4502324218747</x:v>
      </x:c>
      <x:c r="F19" s="59" t="n">
        <x:f>F11*'Scenario Inputs'!I57</x:f>
        <x:v>4690.488976611328</x:v>
      </x:c>
      <x:c r="G19" s="59" t="n">
        <x:f>G11*'Scenario Inputs'!J57</x:f>
        <x:v>6253.976752196046</x:v>
      </x:c>
      <x:c r="H19" s="59" t="n">
        <x:f>H11*'Scenario Inputs'!K57</x:f>
        <x:v>7965.127333391144</x:v>
      </x:c>
      <x:c r="I19" s="59" t="n">
        <x:f>I11*'Scenario Inputs'!L57</x:f>
        <x:v>9820.249150056363</x:v>
      </x:c>
      <x:c r="J19" s="59" t="n">
        <x:f>J11*'Scenario Inputs'!M57</x:f>
        <x:v>11815.742921304956</x:v>
      </x:c>
      <x:c r="K19" s="59" t="n">
        <x:f>K11*'Scenario Inputs'!N57</x:f>
        <x:v>13948.09934827233</x:v>
      </x:c>
      <x:c r="L19" s="59" t="n">
        <x:f>L11*'Scenario Inputs'!O57</x:f>
        <x:v>16213.89686456552</x:v>
      </x:c>
      <x:c r="M19" s="59" t="n">
        <x:f>M11*'Scenario Inputs'!P57</x:f>
        <x:v>18609.799442951386</x:v>
      </x:c>
    </x:row>
    <x:row r="20" ht="22" customHeight="1">
      <x:c r="A20" s="21" t="str">
        <x:v>Monitor setup revenue</x:v>
      </x:c>
      <x:c r="B20" s="59" t="n">
        <x:f>B14*'Scenario Inputs'!E61</x:f>
        <x:v>0</x:v>
      </x:c>
      <x:c r="C20" s="59" t="n">
        <x:f>C14*'Scenario Inputs'!F61</x:f>
        <x:v>597</x:v>
      </x:c>
      <x:c r="D20" s="59" t="n">
        <x:f>D14*'Scenario Inputs'!G61</x:f>
        <x:v>995</x:v>
      </x:c>
      <x:c r="E20" s="59" t="n">
        <x:f>E14*'Scenario Inputs'!H61</x:f>
        <x:v>1592</x:v>
      </x:c>
      <x:c r="F20" s="59" t="n">
        <x:f>F14*'Scenario Inputs'!I61</x:f>
        <x:v>1990</x:v>
      </x:c>
      <x:c r="G20" s="59" t="n">
        <x:f>G14*'Scenario Inputs'!J61</x:f>
        <x:v>2388</x:v>
      </x:c>
      <x:c r="H20" s="59" t="n">
        <x:f>H14*'Scenario Inputs'!K61</x:f>
        <x:v>2985</x:v>
      </x:c>
      <x:c r="I20" s="59" t="n">
        <x:f>I14*'Scenario Inputs'!L61</x:f>
        <x:v>3582</x:v>
      </x:c>
      <x:c r="J20" s="59" t="n">
        <x:f>J14*'Scenario Inputs'!M61</x:f>
        <x:v>3980</x:v>
      </x:c>
      <x:c r="K20" s="59" t="n">
        <x:f>K14*'Scenario Inputs'!N61</x:f>
        <x:v>4975</x:v>
      </x:c>
      <x:c r="L20" s="59" t="n">
        <x:f>L14*'Scenario Inputs'!O61</x:f>
        <x:v>4975</x:v>
      </x:c>
      <x:c r="M20" s="59" t="n">
        <x:f>M14*'Scenario Inputs'!P61</x:f>
        <x:v>5970</x:v>
      </x:c>
    </x:row>
    <x:row r="21" ht="22" customHeight="1">
      <x:c r="A21" s="21" t="str">
        <x:v>Monitoring revenue</x:v>
      </x:c>
      <x:c r="B21" s="59" t="n">
        <x:f>B16*'Scenario Inputs'!E60</x:f>
        <x:v>0</x:v>
      </x:c>
      <x:c r="C21" s="59" t="n">
        <x:f>C16*'Scenario Inputs'!F60</x:f>
        <x:v>148.5</x:v>
      </x:c>
      <x:c r="D21" s="59" t="n">
        <x:f>D16*'Scenario Inputs'!G60</x:f>
        <x:v>540.7875</x:v>
      </x:c>
      <x:c r="E21" s="59" t="n">
        <x:f>E16*'Scenario Inputs'!H60</x:f>
        <x:v>1170.7678125</x:v>
      </x:c>
      <x:c r="F21" s="59" t="n">
        <x:f>F16*'Scenario Inputs'!I60</x:f>
        <x:v>2032.4986171875</x:v>
      </x:c>
      <x:c r="G21" s="59" t="n">
        <x:f>G16*'Scenario Inputs'!J60</x:f>
        <x:v>3070.6861517578127</x:v>
      </x:c>
      <x:c r="H21" s="59" t="n">
        <x:f>H16*'Scenario Inputs'!K60</x:f>
        <x:v>4330.418997963868</x:v>
      </x:c>
      <x:c r="I21" s="59" t="n">
        <x:f>I16*'Scenario Inputs'!L60</x:f>
        <x:v>5855.65852301477</x:v>
      </x:c>
      <x:c r="J21" s="59" t="n">
        <x:f>J16*'Scenario Inputs'!M60</x:f>
        <x:v>7590.267059939401</x:v>
      </x:c>
      <x:c r="K21" s="59" t="n">
        <x:f>K16*'Scenario Inputs'!N60</x:f>
        <x:v>9628.010383440915</x:v>
      </x:c>
      <x:c r="L21" s="59" t="n">
        <x:f>L16*'Scenario Inputs'!O60</x:f>
        <x:v>11862.310123854893</x:v>
      </x:c>
      <x:c r="M21" s="59" t="n">
        <x:f>M16*'Scenario Inputs'!P60</x:f>
        <x:v>14288.252370758519</x:v>
      </x:c>
    </x:row>
    <x:row r="22" ht="22" customHeight="1">
      <x:c r="A22" s="21" t="str">
        <x:v>Toolkit revenue</x:v>
      </x:c>
      <x:c r="B22" s="59" t="n">
        <x:f>'Scenario Inputs'!E62*'Scenario Inputs'!E63</x:f>
        <x:v>147</x:v>
      </x:c>
      <x:c r="C22" s="59" t="n">
        <x:f>'Scenario Inputs'!F62*'Scenario Inputs'!F63</x:f>
        <x:v>490</x:v>
      </x:c>
      <x:c r="D22" s="59" t="n">
        <x:f>'Scenario Inputs'!G62*'Scenario Inputs'!G63</x:f>
        <x:v>1225</x:v>
      </x:c>
      <x:c r="E22" s="59" t="n">
        <x:f>'Scenario Inputs'!H62*'Scenario Inputs'!H63</x:f>
        <x:v>1960</x:v>
      </x:c>
      <x:c r="F22" s="59" t="n">
        <x:f>'Scenario Inputs'!I62*'Scenario Inputs'!I63</x:f>
        <x:v>2940</x:v>
      </x:c>
      <x:c r="G22" s="59" t="n">
        <x:f>'Scenario Inputs'!J62*'Scenario Inputs'!J63</x:f>
        <x:v>4410</x:v>
      </x:c>
      <x:c r="H22" s="59" t="n">
        <x:f>'Scenario Inputs'!K62*'Scenario Inputs'!K63</x:f>
        <x:v>5880</x:v>
      </x:c>
      <x:c r="I22" s="59" t="n">
        <x:f>'Scenario Inputs'!L62*'Scenario Inputs'!L63</x:f>
        <x:v>7350</x:v>
      </x:c>
      <x:c r="J22" s="59" t="n">
        <x:f>'Scenario Inputs'!M62*'Scenario Inputs'!M63</x:f>
        <x:v>8820</x:v>
      </x:c>
      <x:c r="K22" s="59" t="n">
        <x:f>'Scenario Inputs'!N62*'Scenario Inputs'!N63</x:f>
        <x:v>10780</x:v>
      </x:c>
      <x:c r="L22" s="59" t="n">
        <x:f>'Scenario Inputs'!O62*'Scenario Inputs'!O63</x:f>
        <x:v>12740</x:v>
      </x:c>
      <x:c r="M22" s="59" t="n">
        <x:f>'Scenario Inputs'!P62*'Scenario Inputs'!P63</x:f>
        <x:v>14700</x:v>
      </x:c>
    </x:row>
    <x:row r="23" ht="22" customHeight="1">
      <x:c r="A23" s="67" t="str">
        <x:v>TOTAL EARNED REVENUE</x:v>
      </x:c>
      <x:c r="B23" s="68" t="n">
        <x:f>SUM(B18:B22)</x:f>
        <x:v>1924.125</x:v>
      </x:c>
      <x:c r="C23" s="68" t="n">
        <x:f>SUM(C18:C22)</x:f>
        <x:v>6750.621875</x:v>
      </x:c>
      <x:c r="D23" s="68" t="n">
        <x:f>SUM(D18:D22)</x:f>
        <x:v>10176.531328125</x:v>
      </x:c>
      <x:c r="E23" s="68" t="n">
        <x:f>SUM(E18:E22)</x:f>
        <x:v>15193.218044921874</x:v>
      </x:c>
      <x:c r="F23" s="68" t="n">
        <x:f>SUM(F18:F22)</x:f>
        <x:v>18844.98759379883</x:v>
      </x:c>
      <x:c r="G23" s="68" t="n">
        <x:f>SUM(G18:G22)</x:f>
        <x:v>26112.66290395386</x:v>
      </x:c>
      <x:c r="H23" s="68" t="n">
        <x:f>SUM(H18:H22)</x:f>
        <x:v>31150.546331355014</x:v>
      </x:c>
      <x:c r="I23" s="68" t="n">
        <x:f>SUM(I18:I22)</x:f>
        <x:v>38595.90767307113</x:v>
      </x:c>
      <x:c r="J23" s="68" t="n">
        <x:f>SUM(J18:J22)</x:f>
        <x:v>44194.00998124436</x:v>
      </x:c>
      <x:c r="K23" s="68" t="n">
        <x:f>SUM(K18:K22)</x:f>
        <x:v>53317.109731713244</x:v>
      </x:c>
      <x:c r="L23" s="68" t="n">
        <x:f>SUM(L18:L22)</x:f>
        <x:v>59777.20698842041</x:v>
      </x:c>
      <x:c r="M23" s="68" t="n">
        <x:f>SUM(M18:M22)</x:f>
        <x:v>69552.0518137099</x:v>
      </x:c>
    </x:row>
    <x:row r="24" ht="22" customHeight="1">
      <x:c r="A24" s="21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</x:row>
    <x:row r="25" ht="22" customHeight="1">
      <x:c r="A25" s="21" t="str">
        <x:v>Platform and payment fees</x:v>
      </x:c>
      <x:c r="B25" s="59" t="n">
        <x:f>SUM(B18:B21)*('Scenario Inputs'!E73*'Inputs'!$C$7+(1-'Scenario Inputs'!E73)*'Inputs'!$C$5)+(B5+B11+B16+B14)*(1-'Scenario Inputs'!E73)*'Inputs'!$C$6+B22*'Inputs'!$C$8+'Scenario Inputs'!E62*'Inputs'!$C$9</x:f>
        <x:v>154.896375</x:v>
      </x:c>
      <x:c r="C25" s="59" t="n">
        <x:f>SUM(C18:C21)*('Scenario Inputs'!F73*'Inputs'!$C$7+(1-'Scenario Inputs'!F73)*'Inputs'!$C$5)+(C5+C11+C16+C14)*(1-'Scenario Inputs'!F73)*'Inputs'!$C$6+C22*'Inputs'!$C$8+'Scenario Inputs'!F62*'Inputs'!$C$9</x:f>
        <x:v>540.8807406249999</x:v>
      </x:c>
      <x:c r="D25" s="59" t="n">
        <x:f>SUM(D18:D21)*('Scenario Inputs'!G73*'Inputs'!$C$7+(1-'Scenario Inputs'!G73)*'Inputs'!$C$5)+(D5+D11+D16+D14)*(1-'Scenario Inputs'!G73)*'Inputs'!$C$6+D22*'Inputs'!$C$8+'Scenario Inputs'!G62*'Inputs'!$C$9</x:f>
        <x:v>861.123997109375</x:v>
      </x:c>
      <x:c r="E25" s="59" t="n">
        <x:f>SUM(E18:E21)*('Scenario Inputs'!H73*'Inputs'!$C$7+(1-'Scenario Inputs'!H73)*'Inputs'!$C$5)+(E5+E11+E16+E14)*(1-'Scenario Inputs'!H73)*'Inputs'!$C$6+E22*'Inputs'!$C$8+'Scenario Inputs'!H62*'Inputs'!$C$9</x:f>
        <x:v>1298.6333221816403</x:v>
      </x:c>
      <x:c r="F25" s="59" t="n">
        <x:f>SUM(F18:F21)*('Scenario Inputs'!I73*'Inputs'!$C$7+(1-'Scenario Inputs'!I73)*'Inputs'!$C$5)+(F5+F11+F16+F14)*(1-'Scenario Inputs'!I73)*'Inputs'!$C$6+F22*'Inputs'!$C$8+'Scenario Inputs'!I62*'Inputs'!$C$9</x:f>
        <x:v>1659.1112891270996</x:v>
      </x:c>
      <x:c r="G25" s="59" t="n">
        <x:f>SUM(G18:G21)*('Scenario Inputs'!J73*'Inputs'!$C$7+(1-'Scenario Inputs'!J73)*'Inputs'!$C$5)+(G5+G11+G16+G14)*(1-'Scenario Inputs'!J73)*'Inputs'!$C$6+G22*'Inputs'!$C$8+'Scenario Inputs'!J62*'Inputs'!$C$9</x:f>
        <x:v>2329.702406898922</x:v>
      </x:c>
      <x:c r="H25" s="59" t="n">
        <x:f>SUM(H18:H21)*('Scenario Inputs'!K73*'Inputs'!$C$7+(1-'Scenario Inputs'!K73)*'Inputs'!$C$5)+(H5+H11+H16+H14)*(1-'Scenario Inputs'!K73)*'Inputs'!$C$6+H22*'Inputs'!$C$8+'Scenario Inputs'!K62*'Inputs'!$C$9</x:f>
        <x:v>2837.903196726449</x:v>
      </x:c>
      <x:c r="I25" s="59" t="n">
        <x:f>SUM(I18:I21)*('Scenario Inputs'!L73*'Inputs'!$C$7+(1-'Scenario Inputs'!L73)*'Inputs'!$C$5)+(I5+I11+I16+I14)*(1-'Scenario Inputs'!L73)*'Inputs'!$C$6+I22*'Inputs'!$C$8+'Scenario Inputs'!L62*'Inputs'!$C$9</x:f>
        <x:v>3522.9544918082875</x:v>
      </x:c>
      <x:c r="J25" s="59" t="n">
        <x:f>SUM(J18:J21)*('Scenario Inputs'!M73*'Inputs'!$C$7+(1-'Scenario Inputs'!M73)*'Inputs'!$C$5)+(J5+J11+J16+J14)*(1-'Scenario Inputs'!M73)*'Inputs'!$C$6+J22*'Inputs'!$C$8+'Scenario Inputs'!M62*'Inputs'!$C$9</x:f>
        <x:v>4073.0883795130803</x:v>
      </x:c>
      <x:c r="K25" s="59" t="n">
        <x:f>SUM(K18:K21)*('Scenario Inputs'!N73*'Inputs'!$C$7+(1-'Scenario Inputs'!N73)*'Inputs'!$C$5)+(K5+K11+K16+K14)*(1-'Scenario Inputs'!N73)*'Inputs'!$C$6+K22*'Inputs'!$C$8+'Scenario Inputs'!N62*'Inputs'!$C$9</x:f>
        <x:v>4927.585520025254</x:v>
      </x:c>
      <x:c r="L25" s="59" t="n">
        <x:f>SUM(L18:L21)*('Scenario Inputs'!O73*'Inputs'!$C$7+(1-'Scenario Inputs'!O73)*'Inputs'!$C$5)+(L5+L11+L16+L14)*(1-'Scenario Inputs'!O73)*'Inputs'!$C$6+L22*'Inputs'!$C$8+'Scenario Inputs'!O62*'Inputs'!$C$9</x:f>
        <x:v>5586.742957024622</x:v>
      </x:c>
      <x:c r="M25" s="59" t="n">
        <x:f>SUM(M18:M21)*('Scenario Inputs'!P73*'Inputs'!$C$7+(1-'Scenario Inputs'!P73)*'Inputs'!$C$5)+(M5+M11+M16+M14)*(1-'Scenario Inputs'!P73)*'Inputs'!$C$6+M22*'Inputs'!$C$8+'Scenario Inputs'!P62*'Inputs'!$C$9</x:f>
        <x:v>6489.863208099006</x:v>
      </x:c>
    </x:row>
    <x:row r="26" ht="22" customHeight="1">
      <x:c r="A26" s="21" t="str">
        <x:v>Refund/rework allowance</x:v>
      </x:c>
      <x:c r="B26" s="59" t="n">
        <x:f>B23*'Inputs'!$C$10</x:f>
        <x:v>57.723749999999995</x:v>
      </x:c>
      <x:c r="C26" s="59" t="n">
        <x:f>C23*'Inputs'!$C$10</x:f>
        <x:v>202.51865625</x:v>
      </x:c>
      <x:c r="D26" s="59" t="n">
        <x:f>D23*'Inputs'!$C$10</x:f>
        <x:v>305.29593984375</x:v>
      </x:c>
      <x:c r="E26" s="59" t="n">
        <x:f>E23*'Inputs'!$C$10</x:f>
        <x:v>455.7965413476562</x:v>
      </x:c>
      <x:c r="F26" s="59" t="n">
        <x:f>F23*'Inputs'!$C$10</x:f>
        <x:v>565.3496278139648</x:v>
      </x:c>
      <x:c r="G26" s="59" t="n">
        <x:f>G23*'Inputs'!$C$10</x:f>
        <x:v>783.3798871186158</x:v>
      </x:c>
      <x:c r="H26" s="59" t="n">
        <x:f>H23*'Inputs'!$C$10</x:f>
        <x:v>934.5163899406504</x:v>
      </x:c>
      <x:c r="I26" s="59" t="n">
        <x:f>I23*'Inputs'!$C$10</x:f>
        <x:v>1157.877230192134</x:v>
      </x:c>
      <x:c r="J26" s="59" t="n">
        <x:f>J23*'Inputs'!$C$10</x:f>
        <x:v>1325.8202994373307</x:v>
      </x:c>
      <x:c r="K26" s="59" t="n">
        <x:f>K23*'Inputs'!$C$10</x:f>
        <x:v>1599.5132919513974</x:v>
      </x:c>
      <x:c r="L26" s="59" t="n">
        <x:f>L23*'Inputs'!$C$10</x:f>
        <x:v>1793.3162096526123</x:v>
      </x:c>
      <x:c r="M26" s="59" t="n">
        <x:f>M23*'Inputs'!$C$10</x:f>
        <x:v>2086.561554411297</x:v>
      </x:c>
    </x:row>
    <x:row r="27" ht="22" customHeight="1">
      <x:c r="A27" s="21" t="str">
        <x:v>FX / payment-risk allowance</x:v>
      </x:c>
      <x:c r="B27" s="59" t="n">
        <x:f>B23*'Inputs'!$C$11</x:f>
        <x:v>38.4825</x:v>
      </x:c>
      <x:c r="C27" s="59" t="n">
        <x:f>C23*'Inputs'!$C$11</x:f>
        <x:v>135.0124375</x:v>
      </x:c>
      <x:c r="D27" s="59" t="n">
        <x:f>D23*'Inputs'!$C$11</x:f>
        <x:v>203.5306265625</x:v>
      </x:c>
      <x:c r="E27" s="59" t="n">
        <x:f>E23*'Inputs'!$C$11</x:f>
        <x:v>303.8643608984375</x:v>
      </x:c>
      <x:c r="F27" s="59" t="n">
        <x:f>F23*'Inputs'!$C$11</x:f>
        <x:v>376.89975187597656</x:v>
      </x:c>
      <x:c r="G27" s="59" t="n">
        <x:f>G23*'Inputs'!$C$11</x:f>
        <x:v>522.2532580790772</x:v>
      </x:c>
      <x:c r="H27" s="59" t="n">
        <x:f>H23*'Inputs'!$C$11</x:f>
        <x:v>623.0109266271003</x:v>
      </x:c>
      <x:c r="I27" s="59" t="n">
        <x:f>I23*'Inputs'!$C$11</x:f>
        <x:v>771.9181534614227</x:v>
      </x:c>
      <x:c r="J27" s="59" t="n">
        <x:f>J23*'Inputs'!$C$11</x:f>
        <x:v>883.8801996248872</x:v>
      </x:c>
      <x:c r="K27" s="59" t="n">
        <x:f>K23*'Inputs'!$C$11</x:f>
        <x:v>1066.3421946342648</x:v>
      </x:c>
      <x:c r="L27" s="59" t="n">
        <x:f>L23*'Inputs'!$C$11</x:f>
        <x:v>1195.5441397684083</x:v>
      </x:c>
      <x:c r="M27" s="59" t="n">
        <x:f>M23*'Inputs'!$C$11</x:f>
        <x:v>1391.041036274198</x:v>
      </x:c>
    </x:row>
    <x:row r="28" ht="22" customHeight="1">
      <x:c r="A28" s="21" t="str">
        <x:v>Variable delivery / hosting costs</x:v>
      </x:c>
      <x:c r="B28" s="59" t="n">
        <x:f>B5*'Inputs'!$C$12+B11*'Inputs'!$C$13+B16*'Inputs'!$C$14+'Scenario Inputs'!E62*'Inputs'!$C$15</x:f>
        <x:v>46.5</x:v>
      </x:c>
      <x:c r="C28" s="59" t="n">
        <x:f>C5*'Inputs'!$C$12+C11*'Inputs'!$C$13+C16*'Inputs'!$C$14+'Scenario Inputs'!F62*'Inputs'!$C$15</x:f>
        <x:v>124.1625</x:v>
      </x:c>
      <x:c r="D28" s="59" t="n">
        <x:f>D5*'Inputs'!$C$12+D11*'Inputs'!$C$13+D16*'Inputs'!$C$14+'Scenario Inputs'!G62*'Inputs'!$C$15</x:f>
        <x:v>237.0584375</x:v>
      </x:c>
      <x:c r="E28" s="59" t="n">
        <x:f>E5*'Inputs'!$C$12+E11*'Inputs'!$C$13+E16*'Inputs'!$C$14+'Scenario Inputs'!H62*'Inputs'!$C$15</x:f>
        <x:v>396.2569765625</x:v>
      </x:c>
      <x:c r="F28" s="59" t="n">
        <x:f>F5*'Inputs'!$C$12+F11*'Inputs'!$C$13+F16*'Inputs'!$C$14+'Scenario Inputs'!I62*'Inputs'!$C$15</x:f>
        <x:v>571.3505521484375</x:v>
      </x:c>
      <x:c r="G28" s="59" t="n">
        <x:f>G5*'Inputs'!$C$12+G11*'Inputs'!$C$13+G16*'Inputs'!$C$14+'Scenario Inputs'!J62*'Inputs'!$C$15</x:f>
        <x:v>801.5667883447265</x:v>
      </x:c>
      <x:c r="H28" s="59" t="n">
        <x:f>H5*'Inputs'!$C$12+H11*'Inputs'!$C$13+H16*'Inputs'!$C$14+'Scenario Inputs'!K62*'Inputs'!$C$15</x:f>
        <x:v>1041.2776186361084</x:v>
      </x:c>
      <x:c r="I28" s="59" t="n">
        <x:f>I5*'Inputs'!$C$12+I11*'Inputs'!$C$13+I16*'Inputs'!$C$14+'Scenario Inputs'!L62*'Inputs'!$C$15</x:f>
        <x:v>1334.7456781702056</x:v>
      </x:c>
      <x:c r="J28" s="59" t="n">
        <x:f>J5*'Inputs'!$C$12+J11*'Inputs'!$C$13+J16*'Inputs'!$C$14+'Scenario Inputs'!M62*'Inputs'!$C$15</x:f>
        <x:v>1636.1270362159505</x:v>
      </x:c>
      <x:c r="K28" s="59" t="n">
        <x:f>K5*'Inputs'!$C$12+K11*'Inputs'!$C$13+K16*'Inputs'!$C$14+'Scenario Inputs'!N62*'Inputs'!$C$15</x:f>
        <x:v>2004.7238603105516</x:v>
      </x:c>
      <x:c r="L28" s="59" t="n">
        <x:f>L5*'Inputs'!$C$12+L11*'Inputs'!$C$13+L16*'Inputs'!$C$14+'Scenario Inputs'!O62*'Inputs'!$C$15</x:f>
        <x:v>2379.605763802788</x:v>
      </x:c>
      <x:c r="M28" s="59" t="n">
        <x:f>M5*'Inputs'!$C$12+M11*'Inputs'!$C$13+M16*'Inputs'!$C$14+'Scenario Inputs'!P62*'Inputs'!$C$15</x:f>
        <x:v>2800.115619707718</x:v>
      </x:c>
    </x:row>
    <x:row r="29" ht="22" customHeight="1">
      <x:c r="A29" s="21" t="str">
        <x:v>Fixed tools, hosting and admin</x:v>
      </x:c>
      <x:c r="B29" s="83" t="n">
        <x:f>'Scenario Inputs'!E64</x:f>
        <x:v>90</x:v>
      </x:c>
      <x:c r="C29" s="83" t="n">
        <x:f>'Scenario Inputs'!F64</x:f>
        <x:v>150</x:v>
      </x:c>
      <x:c r="D29" s="83" t="n">
        <x:f>'Scenario Inputs'!G64</x:f>
        <x:v>220</x:v>
      </x:c>
      <x:c r="E29" s="83" t="n">
        <x:f>'Scenario Inputs'!H64</x:f>
        <x:v>300</x:v>
      </x:c>
      <x:c r="F29" s="83" t="n">
        <x:f>'Scenario Inputs'!I64</x:f>
        <x:v>400</x:v>
      </x:c>
      <x:c r="G29" s="83" t="n">
        <x:f>'Scenario Inputs'!J64</x:f>
        <x:v>550</x:v>
      </x:c>
      <x:c r="H29" s="83" t="n">
        <x:f>'Scenario Inputs'!K64</x:f>
        <x:v>700</x:v>
      </x:c>
      <x:c r="I29" s="83" t="n">
        <x:f>'Scenario Inputs'!L64</x:f>
        <x:v>850</x:v>
      </x:c>
      <x:c r="J29" s="83" t="n">
        <x:f>'Scenario Inputs'!M64</x:f>
        <x:v>1000</x:v>
      </x:c>
      <x:c r="K29" s="83" t="n">
        <x:f>'Scenario Inputs'!N64</x:f>
        <x:v>1250</x:v>
      </x:c>
      <x:c r="L29" s="83" t="n">
        <x:f>'Scenario Inputs'!O64</x:f>
        <x:v>1500</x:v>
      </x:c>
      <x:c r="M29" s="83" t="n">
        <x:f>'Scenario Inputs'!P64</x:f>
        <x:v>1800</x:v>
      </x:c>
    </x:row>
    <x:row r="30" ht="22" customHeight="1">
      <x:c r="A30" s="21" t="str">
        <x:v>Cash customer acquisition</x:v>
      </x:c>
      <x:c r="B30" s="83" t="n">
        <x:f>'Scenario Inputs'!E65</x:f>
        <x:v>75</x:v>
      </x:c>
      <x:c r="C30" s="83" t="n">
        <x:f>'Scenario Inputs'!F65</x:f>
        <x:v>150</x:v>
      </x:c>
      <x:c r="D30" s="83" t="n">
        <x:f>'Scenario Inputs'!G65</x:f>
        <x:v>300</x:v>
      </x:c>
      <x:c r="E30" s="83" t="n">
        <x:f>'Scenario Inputs'!H65</x:f>
        <x:v>500</x:v>
      </x:c>
      <x:c r="F30" s="83" t="n">
        <x:f>'Scenario Inputs'!I65</x:f>
        <x:v>700</x:v>
      </x:c>
      <x:c r="G30" s="83" t="n">
        <x:f>'Scenario Inputs'!J65</x:f>
        <x:v>1000</x:v>
      </x:c>
      <x:c r="H30" s="83" t="n">
        <x:f>'Scenario Inputs'!K65</x:f>
        <x:v>1400</x:v>
      </x:c>
      <x:c r="I30" s="83" t="n">
        <x:f>'Scenario Inputs'!L65</x:f>
        <x:v>1800</x:v>
      </x:c>
      <x:c r="J30" s="83" t="n">
        <x:f>'Scenario Inputs'!M65</x:f>
        <x:v>2200</x:v>
      </x:c>
      <x:c r="K30" s="83" t="n">
        <x:f>'Scenario Inputs'!N65</x:f>
        <x:v>2800</x:v>
      </x:c>
      <x:c r="L30" s="83" t="n">
        <x:f>'Scenario Inputs'!O65</x:f>
        <x:v>3400</x:v>
      </x:c>
      <x:c r="M30" s="83" t="n">
        <x:f>'Scenario Inputs'!P65</x:f>
        <x:v>4200</x:v>
      </x:c>
    </x:row>
    <x:row r="31" ht="22" customHeight="1">
      <x:c r="A31" s="21" t="str">
        <x:v>Contractor delivery / operations</x:v>
      </x:c>
      <x:c r="B31" s="59" t="n">
        <x:f>'Scenario Inputs'!E66*'Inputs'!$C$16</x:f>
        <x:v>0</x:v>
      </x:c>
      <x:c r="C31" s="59" t="n">
        <x:f>'Scenario Inputs'!F66*'Inputs'!$C$16</x:f>
        <x:v>300</x:v>
      </x:c>
      <x:c r="D31" s="59" t="n">
        <x:f>'Scenario Inputs'!G66*'Inputs'!$C$16</x:f>
        <x:v>750</x:v>
      </x:c>
      <x:c r="E31" s="59" t="n">
        <x:f>'Scenario Inputs'!H66*'Inputs'!$C$16</x:f>
        <x:v>1200</x:v>
      </x:c>
      <x:c r="F31" s="59" t="n">
        <x:f>'Scenario Inputs'!I66*'Inputs'!$C$16</x:f>
        <x:v>1950</x:v>
      </x:c>
      <x:c r="G31" s="59" t="n">
        <x:f>'Scenario Inputs'!J66*'Inputs'!$C$16</x:f>
        <x:v>3000</x:v>
      </x:c>
      <x:c r="H31" s="59" t="n">
        <x:f>'Scenario Inputs'!K66*'Inputs'!$C$16</x:f>
        <x:v>3900</x:v>
      </x:c>
      <x:c r="I31" s="59" t="n">
        <x:f>'Scenario Inputs'!L66*'Inputs'!$C$16</x:f>
        <x:v>5100</x:v>
      </x:c>
      <x:c r="J31" s="59" t="n">
        <x:f>'Scenario Inputs'!M66*'Inputs'!$C$16</x:f>
        <x:v>6300</x:v>
      </x:c>
      <x:c r="K31" s="59" t="n">
        <x:f>'Scenario Inputs'!N66*'Inputs'!$C$16</x:f>
        <x:v>7800</x:v>
      </x:c>
      <x:c r="L31" s="59" t="n">
        <x:f>'Scenario Inputs'!O66*'Inputs'!$C$16</x:f>
        <x:v>9000</x:v>
      </x:c>
      <x:c r="M31" s="59" t="n">
        <x:f>'Scenario Inputs'!P66*'Inputs'!$C$16</x:f>
        <x:v>10800</x:v>
      </x:c>
    </x:row>
    <x:row r="32" ht="22" customHeight="1">
      <x:c r="A32" s="21" t="str">
        <x:v>Initial setup spend</x:v>
      </x:c>
      <x:c r="B32" s="83" t="n">
        <x:f>'Scenario Inputs'!E76</x:f>
        <x:v>150</x:v>
      </x:c>
      <x:c r="C32" s="83" t="n">
        <x:f>0</x:f>
        <x:v>0</x:v>
      </x:c>
      <x:c r="D32" s="83" t="n">
        <x:f>0</x:f>
        <x:v>0</x:v>
      </x:c>
      <x:c r="E32" s="83" t="n">
        <x:f>0</x:f>
        <x:v>0</x:v>
      </x:c>
      <x:c r="F32" s="83" t="n">
        <x:f>0</x:f>
        <x:v>0</x:v>
      </x:c>
      <x:c r="G32" s="83" t="n">
        <x:f>0</x:f>
        <x:v>0</x:v>
      </x:c>
      <x:c r="H32" s="83" t="n">
        <x:f>0</x:f>
        <x:v>0</x:v>
      </x:c>
      <x:c r="I32" s="83" t="n">
        <x:f>0</x:f>
        <x:v>0</x:v>
      </x:c>
      <x:c r="J32" s="83" t="n">
        <x:f>0</x:f>
        <x:v>0</x:v>
      </x:c>
      <x:c r="K32" s="83" t="n">
        <x:f>0</x:f>
        <x:v>0</x:v>
      </x:c>
      <x:c r="L32" s="83" t="n">
        <x:f>0</x:f>
        <x:v>0</x:v>
      </x:c>
      <x:c r="M32" s="83" t="n">
        <x:f>0</x:f>
        <x:v>0</x:v>
      </x:c>
    </x:row>
    <x:row r="33" ht="22" customHeight="1">
      <x:c r="A33" s="67" t="str">
        <x:v>TOTAL OPERATING EXPENSES</x:v>
      </x:c>
      <x:c r="B33" s="68" t="n">
        <x:f>SUM(B25:B32)</x:f>
        <x:v>612.602625</x:v>
      </x:c>
      <x:c r="C33" s="68" t="n">
        <x:f>SUM(C25:C32)</x:f>
        <x:v>1602.574334375</x:v>
      </x:c>
      <x:c r="D33" s="68" t="n">
        <x:f>SUM(D25:D32)</x:f>
        <x:v>2877.009001015625</x:v>
      </x:c>
      <x:c r="E33" s="68" t="n">
        <x:f>SUM(E25:E32)</x:f>
        <x:v>4454.551200990234</x:v>
      </x:c>
      <x:c r="F33" s="68" t="n">
        <x:f>SUM(F25:F32)</x:f>
        <x:v>6222.711220965479</x:v>
      </x:c>
      <x:c r="G33" s="68" t="n">
        <x:f>SUM(G25:G32)</x:f>
        <x:v>8986.902340441342</x:v>
      </x:c>
      <x:c r="H33" s="68" t="n">
        <x:f>SUM(H25:H32)</x:f>
        <x:v>11436.708131930309</x:v>
      </x:c>
      <x:c r="I33" s="68" t="n">
        <x:f>SUM(I25:I32)</x:f>
        <x:v>14537.495553632049</x:v>
      </x:c>
      <x:c r="J33" s="68" t="n">
        <x:f>SUM(J25:J32)</x:f>
        <x:v>17418.91591479125</x:v>
      </x:c>
      <x:c r="K33" s="68" t="n">
        <x:f>SUM(K25:K32)</x:f>
        <x:v>21448.164866921466</x:v>
      </x:c>
      <x:c r="L33" s="68" t="n">
        <x:f>SUM(L25:L32)</x:f>
        <x:v>24855.20907024843</x:v>
      </x:c>
      <x:c r="M33" s="68" t="n">
        <x:f>SUM(M25:M32)</x:f>
        <x:v>29567.58141849222</x:v>
      </x:c>
    </x:row>
    <x:row r="34" ht="22" customHeight="1">
      <x:c r="A34" s="21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</x:row>
    <x:row r="35" ht="22" customHeight="1">
      <x:c r="A35" s="67" t="str">
        <x:v>OPERATING PROFIT BEFORE OWNER PAY</x:v>
      </x:c>
      <x:c r="B35" s="68" t="n">
        <x:f>B23-B33</x:f>
        <x:v>1311.522375</x:v>
      </x:c>
      <x:c r="C35" s="68" t="n">
        <x:f>C23-C33</x:f>
        <x:v>5148.047540625</x:v>
      </x:c>
      <x:c r="D35" s="68" t="n">
        <x:f>D23-D33</x:f>
        <x:v>7299.522327109375</x:v>
      </x:c>
      <x:c r="E35" s="68" t="n">
        <x:f>E23-E33</x:f>
        <x:v>10738.66684393164</x:v>
      </x:c>
      <x:c r="F35" s="68" t="n">
        <x:f>F23-F33</x:f>
        <x:v>12622.27637283335</x:v>
      </x:c>
      <x:c r="G35" s="68" t="n">
        <x:f>G23-G33</x:f>
        <x:v>17125.76056351252</x:v>
      </x:c>
      <x:c r="H35" s="68" t="n">
        <x:f>H23-H33</x:f>
        <x:v>19713.838199424703</x:v>
      </x:c>
      <x:c r="I35" s="68" t="n">
        <x:f>I23-I33</x:f>
        <x:v>24058.412119439083</x:v>
      </x:c>
      <x:c r="J35" s="68" t="n">
        <x:f>J23-J33</x:f>
        <x:v>26775.094066453108</x:v>
      </x:c>
      <x:c r="K35" s="68" t="n">
        <x:f>K23-K33</x:f>
        <x:v>31868.944864791778</x:v>
      </x:c>
      <x:c r="L35" s="68" t="n">
        <x:f>L23-L33</x:f>
        <x:v>34921.99791817198</x:v>
      </x:c>
      <x:c r="M35" s="68" t="n">
        <x:f>M23-M33</x:f>
        <x:v>39984.47039521768</x:v>
      </x:c>
    </x:row>
    <x:row r="36" ht="22" customHeight="1">
      <x:c r="A36" s="21" t="str">
        <x:v>Operating profit margin</x:v>
      </x:c>
      <x:c r="B36" s="61" t="n">
        <x:f>IFERROR(B35/B23,0)</x:f>
        <x:v>0.6816201520171506</x:v>
      </x:c>
      <x:c r="C36" s="61" t="n">
        <x:f>IFERROR(C35/C23,0)</x:f>
        <x:v>0.7626034513486952</x:v>
      </x:c>
      <x:c r="D36" s="61" t="n">
        <x:f>IFERROR(D35/D23,0)</x:f>
        <x:v>0.7172898202490271</x:v>
      </x:c>
      <x:c r="E36" s="61" t="n">
        <x:f>IFERROR(E35/E23,0)</x:f>
        <x:v>0.7068066035898756</x:v>
      </x:c>
      <x:c r="F36" s="61" t="n">
        <x:f>IFERROR(F35/F23,0)</x:f>
        <x:v>0.6697948889595906</x:v>
      </x:c>
      <x:c r="G36" s="61" t="n">
        <x:f>IFERROR(G35/G23,0)</x:f>
        <x:v>0.6558412149118432</x:v>
      </x:c>
      <x:c r="H36" s="61" t="n">
        <x:f>IFERROR(H35/H23,0)</x:f>
        <x:v>0.6328569004769418</x:v>
      </x:c>
      <x:c r="I36" s="61" t="n">
        <x:f>IFERROR(I35/I23,0)</x:f>
        <x:v>0.6233410112602418</x:v>
      </x:c>
      <x:c r="J36" s="61" t="n">
        <x:f>IFERROR(J35/J23,0)</x:f>
        <x:v>0.6058534647074633</x:v>
      </x:c>
      <x:c r="K36" s="61" t="n">
        <x:f>IFERROR(K35/K23,0)</x:f>
        <x:v>0.5977245395550013</x:v>
      </x:c>
      <x:c r="L36" s="61" t="n">
        <x:f>IFERROR(L35/L23,0)</x:f>
        <x:v>0.5842025694665997</x:v>
      </x:c>
      <x:c r="M36" s="61" t="n">
        <x:f>IFERROR(M35/M23,0)</x:f>
        <x:v>0.5748855620005743</x:v>
      </x:c>
    </x:row>
    <x:row r="37" ht="22" customHeight="1">
      <x:c r="A37" s="21" t="str">
        <x:v>Cumulative operating profit</x:v>
      </x:c>
      <x:c r="B37" s="59" t="n">
        <x:f>SUM($B35:B35)</x:f>
        <x:v>1311.522375</x:v>
      </x:c>
      <x:c r="C37" s="59" t="n">
        <x:f>SUM($B35:C35)</x:f>
        <x:v>6459.569915624999</x:v>
      </x:c>
      <x:c r="D37" s="59" t="n">
        <x:f>SUM($B35:D35)</x:f>
        <x:v>13759.092242734374</x:v>
      </x:c>
      <x:c r="E37" s="59" t="n">
        <x:f>SUM($B35:E35)</x:f>
        <x:v>24497.759086666014</x:v>
      </x:c>
      <x:c r="F37" s="59" t="n">
        <x:f>SUM($B35:F35)</x:f>
        <x:v>37120.03545949936</x:v>
      </x:c>
      <x:c r="G37" s="59" t="n">
        <x:f>SUM($B35:G35)</x:f>
        <x:v>54245.79602301188</x:v>
      </x:c>
      <x:c r="H37" s="59" t="n">
        <x:f>SUM($B35:H35)</x:f>
        <x:v>73959.63422243658</x:v>
      </x:c>
      <x:c r="I37" s="59" t="n">
        <x:f>SUM($B35:I35)</x:f>
        <x:v>98018.04634187566</x:v>
      </x:c>
      <x:c r="J37" s="59" t="n">
        <x:f>SUM($B35:J35)</x:f>
        <x:v>124793.14040832876</x:v>
      </x:c>
      <x:c r="K37" s="59" t="n">
        <x:f>SUM($B35:K35)</x:f>
        <x:v>156662.08527312055</x:v>
      </x:c>
      <x:c r="L37" s="59" t="n">
        <x:f>SUM($B35:L35)</x:f>
        <x:v>191584.08319129254</x:v>
      </x:c>
      <x:c r="M37" s="59" t="n">
        <x:f>SUM($B35:M35)</x:f>
        <x:v>231568.5535865102</x:v>
      </x:c>
    </x:row>
    <x:row r="38" ht="22" customHeight="1">
      <x:c r="A38" s="21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  <x:row r="39" ht="22" customHeight="1">
      <x:c r="A39" s="21" t="str">
        <x:v>Gross owner operations hours</x:v>
      </x:c>
      <x:c r="B39" s="57" t="n">
        <x:f>B5*'Scenario Inputs'!E70+B11*'Scenario Inputs'!E71+B16*'Scenario Inputs'!E72+B14*'Inputs'!$C$21+'Scenario Inputs'!E62*'Inputs'!$C$19</x:f>
        <x:v>15.8625</x:v>
      </x:c>
      <x:c r="C39" s="57" t="n">
        <x:f>C5*'Scenario Inputs'!F70+C11*'Scenario Inputs'!F71+C16*'Scenario Inputs'!F72+C14*'Inputs'!$C$21+'Scenario Inputs'!F62*'Inputs'!$C$19</x:f>
        <x:v>31.4234375</x:v>
      </x:c>
      <x:c r="D39" s="57" t="n">
        <x:f>D5*'Scenario Inputs'!G70+D11*'Scenario Inputs'!G71+D16*'Scenario Inputs'!G72+D14*'Inputs'!$C$21+'Scenario Inputs'!G62*'Inputs'!$C$19</x:f>
        <x:v>42.925351562500005</x:v>
      </x:c>
      <x:c r="E39" s="57" t="n">
        <x:f>E5*'Scenario Inputs'!H70+E11*'Scenario Inputs'!H71+E16*'Scenario Inputs'!H72+E14*'Inputs'!$C$21+'Scenario Inputs'!H62*'Inputs'!$C$19</x:f>
        <x:v>61.5397177734375</x:v>
      </x:c>
      <x:c r="F39" s="57" t="n">
        <x:f>F5*'Scenario Inputs'!I70+F11*'Scenario Inputs'!I71+F16*'Scenario Inputs'!I72+F14*'Inputs'!$C$21+'Scenario Inputs'!I62*'Inputs'!$C$19</x:f>
        <x:v>70.55122482910156</x:v>
      </x:c>
      <x:c r="G39" s="57" t="n">
        <x:f>G5*'Scenario Inputs'!J70+G11*'Scenario Inputs'!J71+G16*'Scenario Inputs'!J72+G14*'Inputs'!$C$21+'Scenario Inputs'!J62*'Inputs'!$C$19</x:f>
        <x:v>91.31244420837402</x:v>
      </x:c>
      <x:c r="H39" s="57" t="n">
        <x:f>H5*'Scenario Inputs'!K70+H11*'Scenario Inputs'!K71+H16*'Scenario Inputs'!K72+H14*'Inputs'!$C$21+'Scenario Inputs'!K62*'Inputs'!$C$19</x:f>
        <x:v>103.92963310316468</x:v>
      </x:c>
      <x:c r="I39" s="57" t="n">
        <x:f>I5*'Scenario Inputs'!L70+I11*'Scenario Inputs'!L71+I16*'Scenario Inputs'!L72+I14*'Inputs'!$C$21+'Scenario Inputs'!L62*'Inputs'!$C$19</x:f>
        <x:v>127.50639227558555</x:v>
      </x:c>
      <x:c r="J39" s="57" t="n">
        <x:f>J5*'Scenario Inputs'!M70+J11*'Scenario Inputs'!M71+J16*'Scenario Inputs'!M72+J14*'Inputs'!$C$21+'Scenario Inputs'!M62*'Inputs'!$C$19</x:f>
        <x:v>140.8937324686959</x:v>
      </x:c>
      <x:c r="K39" s="57" t="n">
        <x:f>K5*'Scenario Inputs'!N70+K11*'Scenario Inputs'!N71+K16*'Scenario Inputs'!N72+K14*'Inputs'!$C$21+'Scenario Inputs'!N62*'Inputs'!$C$19</x:f>
        <x:v>169.3213891569785</x:v>
      </x:c>
      <x:c r="L39" s="57" t="n">
        <x:f>L5*'Scenario Inputs'!O70+L11*'Scenario Inputs'!O71+L16*'Scenario Inputs'!O72+L14*'Inputs'!$C$21+'Scenario Inputs'!O62*'Inputs'!$C$19</x:f>
        <x:v>183.51335442805404</x:v>
      </x:c>
      <x:c r="M39" s="57" t="n">
        <x:f>M5*'Scenario Inputs'!P70+M11*'Scenario Inputs'!P71+M16*'Scenario Inputs'!P72+M14*'Inputs'!$C$21+'Scenario Inputs'!P62*'Inputs'!$C$19</x:f>
        <x:v>213.4505205673527</x:v>
      </x:c>
    </x:row>
    <x:row r="40" ht="22" customHeight="1">
      <x:c r="A40" s="21" t="str">
        <x:v>Effective contractor delegation hours</x:v>
      </x:c>
      <x:c r="B40" s="57" t="n">
        <x:f>'Scenario Inputs'!E66*'Inputs'!$C$20</x:f>
        <x:v>0</x:v>
      </x:c>
      <x:c r="C40" s="57" t="n">
        <x:f>'Scenario Inputs'!F66*'Inputs'!$C$20</x:f>
        <x:v>5</x:v>
      </x:c>
      <x:c r="D40" s="57" t="n">
        <x:f>'Scenario Inputs'!G66*'Inputs'!$C$20</x:f>
        <x:v>12.5</x:v>
      </x:c>
      <x:c r="E40" s="57" t="n">
        <x:f>'Scenario Inputs'!H66*'Inputs'!$C$20</x:f>
        <x:v>20</x:v>
      </x:c>
      <x:c r="F40" s="57" t="n">
        <x:f>'Scenario Inputs'!I66*'Inputs'!$C$20</x:f>
        <x:v>32.5</x:v>
      </x:c>
      <x:c r="G40" s="57" t="n">
        <x:f>'Scenario Inputs'!J66*'Inputs'!$C$20</x:f>
        <x:v>50</x:v>
      </x:c>
      <x:c r="H40" s="57" t="n">
        <x:f>'Scenario Inputs'!K66*'Inputs'!$C$20</x:f>
        <x:v>65</x:v>
      </x:c>
      <x:c r="I40" s="57" t="n">
        <x:f>'Scenario Inputs'!L66*'Inputs'!$C$20</x:f>
        <x:v>85</x:v>
      </x:c>
      <x:c r="J40" s="57" t="n">
        <x:f>'Scenario Inputs'!M66*'Inputs'!$C$20</x:f>
        <x:v>105</x:v>
      </x:c>
      <x:c r="K40" s="57" t="n">
        <x:f>'Scenario Inputs'!N66*'Inputs'!$C$20</x:f>
        <x:v>130</x:v>
      </x:c>
      <x:c r="L40" s="57" t="n">
        <x:f>'Scenario Inputs'!O66*'Inputs'!$C$20</x:f>
        <x:v>150</x:v>
      </x:c>
      <x:c r="M40" s="57" t="n">
        <x:f>'Scenario Inputs'!P66*'Inputs'!$C$20</x:f>
        <x:v>180</x:v>
      </x:c>
    </x:row>
    <x:row r="41" ht="22" customHeight="1">
      <x:c r="A41" s="21" t="str">
        <x:v>Retained owner operations hours</x:v>
      </x:c>
      <x:c r="B41" s="57" t="n">
        <x:f>MAX(B39-B40,0)</x:f>
        <x:v>15.8625</x:v>
      </x:c>
      <x:c r="C41" s="57" t="n">
        <x:f>MAX(C39-C40,0)</x:f>
        <x:v>26.4234375</x:v>
      </x:c>
      <x:c r="D41" s="57" t="n">
        <x:f>MAX(D39-D40,0)</x:f>
        <x:v>30.425351562500005</x:v>
      </x:c>
      <x:c r="E41" s="57" t="n">
        <x:f>MAX(E39-E40,0)</x:f>
        <x:v>41.5397177734375</x:v>
      </x:c>
      <x:c r="F41" s="57" t="n">
        <x:f>MAX(F39-F40,0)</x:f>
        <x:v>38.05122482910156</x:v>
      </x:c>
      <x:c r="G41" s="57" t="n">
        <x:f>MAX(G39-G40,0)</x:f>
        <x:v>41.31244420837402</x:v>
      </x:c>
      <x:c r="H41" s="57" t="n">
        <x:f>MAX(H39-H40,0)</x:f>
        <x:v>38.929633103164676</x:v>
      </x:c>
      <x:c r="I41" s="57" t="n">
        <x:f>MAX(I39-I40,0)</x:f>
        <x:v>42.506392275585554</x:v>
      </x:c>
      <x:c r="J41" s="57" t="n">
        <x:f>MAX(J39-J40,0)</x:f>
        <x:v>35.8937324686959</x:v>
      </x:c>
      <x:c r="K41" s="57" t="n">
        <x:f>MAX(K39-K40,0)</x:f>
        <x:v>39.32138915697851</x:v>
      </x:c>
      <x:c r="L41" s="57" t="n">
        <x:f>MAX(L39-L40,0)</x:f>
        <x:v>33.51335442805404</x:v>
      </x:c>
      <x:c r="M41" s="57" t="n">
        <x:f>MAX(M39-M40,0)</x:f>
        <x:v>33.4505205673527</x:v>
      </x:c>
    </x:row>
    <x:row r="42" ht="22" customHeight="1">
      <x:c r="A42" s="21" t="str">
        <x:v>Owner build / improvement hours</x:v>
      </x:c>
      <x:c r="B42" s="81" t="n">
        <x:f>'Scenario Inputs'!E67</x:f>
        <x:v>30</x:v>
      </x:c>
      <x:c r="C42" s="81" t="n">
        <x:f>'Scenario Inputs'!F67</x:f>
        <x:v>20</x:v>
      </x:c>
      <x:c r="D42" s="81" t="n">
        <x:f>'Scenario Inputs'!G67</x:f>
        <x:v>15</x:v>
      </x:c>
      <x:c r="E42" s="81" t="n">
        <x:f>'Scenario Inputs'!H67</x:f>
        <x:v>15</x:v>
      </x:c>
      <x:c r="F42" s="81" t="n">
        <x:f>'Scenario Inputs'!I67</x:f>
        <x:v>15</x:v>
      </x:c>
      <x:c r="G42" s="81" t="n">
        <x:f>'Scenario Inputs'!J67</x:f>
        <x:v>15</x:v>
      </x:c>
      <x:c r="H42" s="81" t="n">
        <x:f>'Scenario Inputs'!K67</x:f>
        <x:v>15</x:v>
      </x:c>
      <x:c r="I42" s="81" t="n">
        <x:f>'Scenario Inputs'!L67</x:f>
        <x:v>15</x:v>
      </x:c>
      <x:c r="J42" s="81" t="n">
        <x:f>'Scenario Inputs'!M67</x:f>
        <x:v>15</x:v>
      </x:c>
      <x:c r="K42" s="81" t="n">
        <x:f>'Scenario Inputs'!N67</x:f>
        <x:v>15</x:v>
      </x:c>
      <x:c r="L42" s="81" t="n">
        <x:f>'Scenario Inputs'!O67</x:f>
        <x:v>15</x:v>
      </x:c>
      <x:c r="M42" s="81" t="n">
        <x:f>'Scenario Inputs'!P67</x:f>
        <x:v>15</x:v>
      </x:c>
    </x:row>
    <x:row r="43" ht="22" customHeight="1">
      <x:c r="A43" s="21" t="str">
        <x:v>Owner sales / partnership hours</x:v>
      </x:c>
      <x:c r="B43" s="81" t="n">
        <x:f>'Scenario Inputs'!E68</x:f>
        <x:v>35</x:v>
      </x:c>
      <x:c r="C43" s="81" t="n">
        <x:f>'Scenario Inputs'!F68</x:f>
        <x:v>35</x:v>
      </x:c>
      <x:c r="D43" s="81" t="n">
        <x:f>'Scenario Inputs'!G68</x:f>
        <x:v>40</x:v>
      </x:c>
      <x:c r="E43" s="81" t="n">
        <x:f>'Scenario Inputs'!H68</x:f>
        <x:v>40</x:v>
      </x:c>
      <x:c r="F43" s="81" t="n">
        <x:f>'Scenario Inputs'!I68</x:f>
        <x:v>45</x:v>
      </x:c>
      <x:c r="G43" s="81" t="n">
        <x:f>'Scenario Inputs'!J68</x:f>
        <x:v>45</x:v>
      </x:c>
      <x:c r="H43" s="81" t="n">
        <x:f>'Scenario Inputs'!K68</x:f>
        <x:v>45</x:v>
      </x:c>
      <x:c r="I43" s="81" t="n">
        <x:f>'Scenario Inputs'!L68</x:f>
        <x:v>45</x:v>
      </x:c>
      <x:c r="J43" s="81" t="n">
        <x:f>'Scenario Inputs'!M68</x:f>
        <x:v>45</x:v>
      </x:c>
      <x:c r="K43" s="81" t="n">
        <x:f>'Scenario Inputs'!N68</x:f>
        <x:v>45</x:v>
      </x:c>
      <x:c r="L43" s="81" t="n">
        <x:f>'Scenario Inputs'!O68</x:f>
        <x:v>45</x:v>
      </x:c>
      <x:c r="M43" s="81" t="n">
        <x:f>'Scenario Inputs'!P68</x:f>
        <x:v>45</x:v>
      </x:c>
    </x:row>
    <x:row r="44" ht="22" customHeight="1">
      <x:c r="A44" s="21" t="str">
        <x:v>Owner admin / oversight hours</x:v>
      </x:c>
      <x:c r="B44" s="81" t="n">
        <x:f>'Scenario Inputs'!E69</x:f>
        <x:v>7</x:v>
      </x:c>
      <x:c r="C44" s="81" t="n">
        <x:f>'Scenario Inputs'!F69</x:f>
        <x:v>8</x:v>
      </x:c>
      <x:c r="D44" s="81" t="n">
        <x:f>'Scenario Inputs'!G69</x:f>
        <x:v>10</x:v>
      </x:c>
      <x:c r="E44" s="81" t="n">
        <x:f>'Scenario Inputs'!H69</x:f>
        <x:v>12</x:v>
      </x:c>
      <x:c r="F44" s="81" t="n">
        <x:f>'Scenario Inputs'!I69</x:f>
        <x:v>15</x:v>
      </x:c>
      <x:c r="G44" s="81" t="n">
        <x:f>'Scenario Inputs'!J69</x:f>
        <x:v>15</x:v>
      </x:c>
      <x:c r="H44" s="81" t="n">
        <x:f>'Scenario Inputs'!K69</x:f>
        <x:v>18</x:v>
      </x:c>
      <x:c r="I44" s="81" t="n">
        <x:f>'Scenario Inputs'!L69</x:f>
        <x:v>20</x:v>
      </x:c>
      <x:c r="J44" s="81" t="n">
        <x:f>'Scenario Inputs'!M69</x:f>
        <x:v>22</x:v>
      </x:c>
      <x:c r="K44" s="81" t="n">
        <x:f>'Scenario Inputs'!N69</x:f>
        <x:v>25</x:v>
      </x:c>
      <x:c r="L44" s="81" t="n">
        <x:f>'Scenario Inputs'!O69</x:f>
        <x:v>28</x:v>
      </x:c>
      <x:c r="M44" s="81" t="n">
        <x:f>'Scenario Inputs'!P69</x:f>
        <x:v>30</x:v>
      </x:c>
    </x:row>
    <x:row r="45" ht="22" customHeight="1">
      <x:c r="A45" s="67" t="str">
        <x:v>TOTAL OWNER HOURS / MONTH</x:v>
      </x:c>
      <x:c r="B45" s="77" t="n">
        <x:f>SUM(B41:B44)</x:f>
        <x:v>87.8625</x:v>
      </x:c>
      <x:c r="C45" s="77" t="n">
        <x:f>SUM(C41:C44)</x:f>
        <x:v>89.4234375</x:v>
      </x:c>
      <x:c r="D45" s="77" t="n">
        <x:f>SUM(D41:D44)</x:f>
        <x:v>95.4253515625</x:v>
      </x:c>
      <x:c r="E45" s="77" t="n">
        <x:f>SUM(E41:E44)</x:f>
        <x:v>108.5397177734375</x:v>
      </x:c>
      <x:c r="F45" s="77" t="n">
        <x:f>SUM(F41:F44)</x:f>
        <x:v>113.05122482910156</x:v>
      </x:c>
      <x:c r="G45" s="77" t="n">
        <x:f>SUM(G41:G44)</x:f>
        <x:v>116.31244420837402</x:v>
      </x:c>
      <x:c r="H45" s="77" t="n">
        <x:f>SUM(H41:H44)</x:f>
        <x:v>116.92963310316468</x:v>
      </x:c>
      <x:c r="I45" s="77" t="n">
        <x:f>SUM(I41:I44)</x:f>
        <x:v>122.50639227558555</x:v>
      </x:c>
      <x:c r="J45" s="77" t="n">
        <x:f>SUM(J41:J44)</x:f>
        <x:v>117.8937324686959</x:v>
      </x:c>
      <x:c r="K45" s="77" t="n">
        <x:f>SUM(K41:K44)</x:f>
        <x:v>124.32138915697851</x:v>
      </x:c>
      <x:c r="L45" s="77" t="n">
        <x:f>SUM(L41:L44)</x:f>
        <x:v>121.51335442805404</x:v>
      </x:c>
      <x:c r="M45" s="77" t="n">
        <x:f>SUM(M41:M44)</x:f>
        <x:v>123.4505205673527</x:v>
      </x:c>
    </x:row>
    <x:row r="46" ht="22" customHeight="1">
      <x:c r="A46" s="21" t="str">
        <x:v>Owner hours / week</x:v>
      </x:c>
      <x:c r="B46" s="57" t="n">
        <x:f>B45*12/52</x:f>
        <x:v>20.275961538461537</x:v>
      </x:c>
      <x:c r="C46" s="57" t="n">
        <x:f>C45*12/52</x:f>
        <x:v>20.63617788461539</x:v>
      </x:c>
      <x:c r="D46" s="57" t="n">
        <x:f>D45*12/52</x:f>
        <x:v>22.021234975961537</x:v>
      </x:c>
      <x:c r="E46" s="57" t="n">
        <x:f>E45*12/52</x:f>
        <x:v>25.04762717848558</x:v>
      </x:c>
      <x:c r="F46" s="57" t="n">
        <x:f>F45*12/52</x:f>
        <x:v>26.088744191331127</x:v>
      </x:c>
      <x:c r="G46" s="57" t="n">
        <x:f>G45*12/52</x:f>
        <x:v>26.841333278855544</x:v>
      </x:c>
      <x:c r="H46" s="57" t="n">
        <x:f>H45*12/52</x:f>
        <x:v>26.983761485345692</x:v>
      </x:c>
      <x:c r="I46" s="57" t="n">
        <x:f>I45*12/52</x:f>
        <x:v>28.270705909750514</x:v>
      </x:c>
      <x:c r="J46" s="57" t="n">
        <x:f>J45*12/52</x:f>
        <x:v>27.206245954314436</x:v>
      </x:c>
      <x:c r="K46" s="57" t="n">
        <x:f>K45*12/52</x:f>
        <x:v>28.68955134391812</x:v>
      </x:c>
      <x:c r="L46" s="57" t="n">
        <x:f>L45*12/52</x:f>
        <x:v>28.04154332955093</x:v>
      </x:c>
      <x:c r="M46" s="57" t="n">
        <x:f>M45*12/52</x:f>
        <x:v>28.488581669389085</x:v>
      </x:c>
    </x:row>
    <x:row r="47" ht="22" customHeight="1">
      <x:c r="A47" s="21" t="str">
        <x:v>Owner time opportunity cost</x:v>
      </x:c>
      <x:c r="B47" s="59" t="n">
        <x:f>B45*'Inputs'!$C$17</x:f>
        <x:v>2635.875</x:v>
      </x:c>
      <x:c r="C47" s="59" t="n">
        <x:f>C45*'Inputs'!$C$17</x:f>
        <x:v>2682.703125</x:v>
      </x:c>
      <x:c r="D47" s="59" t="n">
        <x:f>D45*'Inputs'!$C$17</x:f>
        <x:v>2862.760546875</x:v>
      </x:c>
      <x:c r="E47" s="59" t="n">
        <x:f>E45*'Inputs'!$C$17</x:f>
        <x:v>3256.191533203125</x:v>
      </x:c>
      <x:c r="F47" s="59" t="n">
        <x:f>F45*'Inputs'!$C$17</x:f>
        <x:v>3391.5367448730467</x:v>
      </x:c>
      <x:c r="G47" s="59" t="n">
        <x:f>G45*'Inputs'!$C$17</x:f>
        <x:v>3489.3733262512205</x:v>
      </x:c>
      <x:c r="H47" s="59" t="n">
        <x:f>H45*'Inputs'!$C$17</x:f>
        <x:v>3507.8889930949404</x:v>
      </x:c>
      <x:c r="I47" s="59" t="n">
        <x:f>I45*'Inputs'!$C$17</x:f>
        <x:v>3675.1917682675667</x:v>
      </x:c>
      <x:c r="J47" s="59" t="n">
        <x:f>J45*'Inputs'!$C$17</x:f>
        <x:v>3536.811974060877</x:v>
      </x:c>
      <x:c r="K47" s="59" t="n">
        <x:f>K45*'Inputs'!$C$17</x:f>
        <x:v>3729.6416747093554</x:v>
      </x:c>
      <x:c r="L47" s="59" t="n">
        <x:f>L45*'Inputs'!$C$17</x:f>
        <x:v>3645.4006328416212</x:v>
      </x:c>
      <x:c r="M47" s="59" t="n">
        <x:f>M45*'Inputs'!$C$17</x:f>
        <x:v>3703.515617020581</x:v>
      </x:c>
    </x:row>
    <x:row r="48" ht="22" customHeight="1">
      <x:c r="A48" s="67" t="str">
        <x:v>PROFIT AFTER VALUING OWNER TIME</x:v>
      </x:c>
      <x:c r="B48" s="68" t="n">
        <x:f>B35-B47</x:f>
        <x:v>-1324.352625</x:v>
      </x:c>
      <x:c r="C48" s="68" t="n">
        <x:f>C35-C47</x:f>
        <x:v>2465.344415625</x:v>
      </x:c>
      <x:c r="D48" s="68" t="n">
        <x:f>D35-D47</x:f>
        <x:v>4436.761780234375</x:v>
      </x:c>
      <x:c r="E48" s="68" t="n">
        <x:f>E35-E47</x:f>
        <x:v>7482.475310728515</x:v>
      </x:c>
      <x:c r="F48" s="68" t="n">
        <x:f>F35-F47</x:f>
        <x:v>9230.739627960304</x:v>
      </x:c>
      <x:c r="G48" s="68" t="n">
        <x:f>G35-G47</x:f>
        <x:v>13636.387237261297</x:v>
      </x:c>
      <x:c r="H48" s="68" t="n">
        <x:f>H35-H47</x:f>
        <x:v>16205.949206329762</x:v>
      </x:c>
      <x:c r="I48" s="68" t="n">
        <x:f>I35-I47</x:f>
        <x:v>20383.220351171516</x:v>
      </x:c>
      <x:c r="J48" s="68" t="n">
        <x:f>J35-J47</x:f>
        <x:v>23238.28209239223</x:v>
      </x:c>
      <x:c r="K48" s="68" t="n">
        <x:f>K35-K47</x:f>
        <x:v>28139.30319008242</x:v>
      </x:c>
      <x:c r="L48" s="68" t="n">
        <x:f>L35-L47</x:f>
        <x:v>31276.59728533036</x:v>
      </x:c>
      <x:c r="M48" s="68" t="n">
        <x:f>M35-M47</x:f>
        <x:v>36280.9547781971</x:v>
      </x:c>
    </x:row>
    <x:row r="49" ht="22" customHeight="1">
      <x:c r="A49" s="21" t="str">
        <x:v>Operating profit per owner hour</x:v>
      </x:c>
      <x:c r="B49" s="59" t="n">
        <x:f>IFERROR(B35/B45,0)</x:f>
        <x:v>14.926986769099445</x:v>
      </x:c>
      <x:c r="C49" s="59" t="n">
        <x:f>IFERROR(C35/C45,0)</x:f>
        <x:v>57.56933176075902</x:v>
      </x:c>
      <x:c r="D49" s="59" t="n">
        <x:f>IFERROR(D35/D45,0)</x:f>
        <x:v>76.49458144598465</x:v>
      </x:c>
      <x:c r="E49" s="59" t="n">
        <x:f>IFERROR(E35/E45,0)</x:f>
        <x:v>98.93767059858406</x:v>
      </x:c>
      <x:c r="F49" s="59" t="n">
        <x:f>IFERROR(F35/F45,0)</x:f>
        <x:v>111.65094754094282</x:v>
      </x:c>
      <x:c r="G49" s="59" t="n">
        <x:f>IFERROR(G35/G45,0)</x:f>
        <x:v>147.23928019973235</x:v>
      </x:c>
      <x:c r="H49" s="59" t="n">
        <x:f>IFERROR(H35/H45,0)</x:f>
        <x:v>168.59574152628682</x:v>
      </x:c>
      <x:c r="I49" s="59" t="n">
        <x:f>IFERROR(I35/I45,0)</x:f>
        <x:v>196.38495324650674</x:v>
      </x:c>
      <x:c r="J49" s="59" t="n">
        <x:f>IFERROR(J35/J45,0)</x:f>
        <x:v>227.11210770735966</x:v>
      </x:c>
      <x:c r="K49" s="59" t="n">
        <x:f>IFERROR(K35/K45,0)</x:f>
        <x:v>256.343217212216</x:v>
      </x:c>
      <x:c r="L49" s="59" t="n">
        <x:f>IFERROR(L35/L45,0)</x:f>
        <x:v>287.3922630359834</x:v>
      </x:c>
      <x:c r="M49" s="59" t="n">
        <x:f>IFERROR(M35/M45,0)</x:f>
        <x:v>323.8906584715677</x:v>
      </x:c>
    </x:row>
    <x:row r="50" ht="22" customHeight="1">
      <x:c r="A50" s="21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</x:row>
    <x:row r="51" ht="22" customHeight="1">
      <x:c r="A51" s="67" t="str">
        <x:v>Exit monthly recurring revenue (MRR)</x:v>
      </x:c>
      <x:c r="B51" s="68" t="n">
        <x:f>B10*'Scenario Inputs'!E57+B15*'Scenario Inputs'!E60</x:f>
        <x:v>560.25</x:v>
      </x:c>
      <x:c r="C51" s="68" t="n">
        <x:f>C10*'Scenario Inputs'!F57+C15*'Scenario Inputs'!F60</x:f>
        <x:v>1776.9937499999999</x:v>
      </x:c>
      <x:c r="D51" s="68" t="n">
        <x:f>D10*'Scenario Inputs'!G57+D15*'Scenario Inputs'!G60</x:f>
        <x:v>3348.0689062499996</x:v>
      </x:c>
      <x:c r="E51" s="68" t="n">
        <x:f>E10*'Scenario Inputs'!H57+E15*'Scenario Inputs'!H60</x:f>
        <x:v>5550.36718359375</x:v>
      </x:c>
      <x:c r="F51" s="68" t="n">
        <x:f>F10*'Scenario Inputs'!I57+F15*'Scenario Inputs'!I60</x:f>
        <x:v>7895.608004003906</x:v>
      </x:c>
      <x:c r="G51" s="68" t="n">
        <x:f>G10*'Scenario Inputs'!J57+G15*'Scenario Inputs'!J60</x:f>
        <x:v>10753.717803903808</x:v>
      </x:c>
      <x:c r="H51" s="68" t="n">
        <x:f>H10*'Scenario Inputs'!K57+H15*'Scenario Inputs'!K60</x:f>
        <x:v>13837.374858806214</x:v>
      </x:c>
      <x:c r="I51" s="68" t="n">
        <x:f>I10*'Scenario Inputs'!L57+I15*'Scenario Inputs'!L60</x:f>
        <x:v>17514.440487336058</x:v>
      </x:c>
      <x:c r="J51" s="68" t="n">
        <x:f>J10*'Scenario Inputs'!M57+J15*'Scenario Inputs'!M60</x:f>
        <x:v>21297.579475152656</x:v>
      </x:c>
      <x:c r="K51" s="68" t="n">
        <x:f>K10*'Scenario Inputs'!N57+K15*'Scenario Inputs'!N60</x:f>
        <x:v>25854.639988273837</x:v>
      </x:c>
      <x:c r="L51" s="68" t="n">
        <x:f>L10*'Scenario Inputs'!O57+L15*'Scenario Inputs'!O60</x:f>
        <x:v>30297.77398856699</x:v>
      </x:c>
      <x:c r="M51" s="68" t="n">
        <x:f>M10*'Scenario Inputs'!P57+M15*'Scenario Inputs'!P60</x:f>
        <x:v>35498.32963885282</x:v>
      </x:c>
    </x:row>
    <x:row r="52" ht="22" customHeight="1">
      <x:c r="A52" s="21" t="str">
        <x:v>Recurring-only contribution proxy</x:v>
      </x:c>
      <x:c r="B52" s="59" t="n">
        <x:f>B51*(1-('Scenario Inputs'!E73*'Inputs'!$C$7+(1-'Scenario Inputs'!E73)*'Inputs'!$C$5)-'Inputs'!$C$10-'Inputs'!$C$11)-B10*'Inputs'!$C$13-B15*'Inputs'!$C$14-(B10+B15)*(1-'Scenario Inputs'!E73)*'Inputs'!$C$6-B29-B30-B31</x:f>
        <x:v>298.86674999999997</x:v>
      </x:c>
      <x:c r="C52" s="59" t="n">
        <x:f>C51*(1-('Scenario Inputs'!F73*'Inputs'!$C$7+(1-'Scenario Inputs'!F73)*'Inputs'!$C$5)-'Inputs'!$C$10-'Inputs'!$C$11)-C10*'Inputs'!$C$13-C15*'Inputs'!$C$14-(C10+C15)*(1-'Scenario Inputs'!F73)*'Inputs'!$C$6-C29-C30-C31</x:f>
        <x:v>855.2203312499998</x:v>
      </x:c>
      <x:c r="D52" s="59" t="n">
        <x:f>D51*(1-('Scenario Inputs'!G73*'Inputs'!$C$7+(1-'Scenario Inputs'!G73)*'Inputs'!$C$5)-'Inputs'!$C$10-'Inputs'!$C$11)-D10*'Inputs'!$C$13-D15*'Inputs'!$C$14-(D10+D15)*(1-'Scenario Inputs'!G73)*'Inputs'!$C$6-D29-D30-D31</x:f>
        <x:v>1459.6383229687494</x:v>
      </x:c>
      <x:c r="E52" s="59" t="n">
        <x:f>E51*(1-('Scenario Inputs'!H73*'Inputs'!$C$7+(1-'Scenario Inputs'!H73)*'Inputs'!$C$5)-'Inputs'!$C$10-'Inputs'!$C$11)-E10*'Inputs'!$C$13-E15*'Inputs'!$C$14-(E10+E15)*(1-'Scenario Inputs'!H73)*'Inputs'!$C$6-E29-E30-E31</x:f>
        <x:v>2511.2793648945317</x:v>
      </x:c>
      <x:c r="F52" s="59" t="n">
        <x:f>F51*(1-('Scenario Inputs'!I73*'Inputs'!$C$7+(1-'Scenario Inputs'!I73)*'Inputs'!$C$5)-'Inputs'!$C$10-'Inputs'!$C$11)-F10*'Inputs'!$C$13-F15*'Inputs'!$C$14-(F10+F15)*(1-'Scenario Inputs'!I73)*'Inputs'!$C$6-F29-F30-F31</x:f>
        <x:v>3351.6053807721673</x:v>
      </x:c>
      <x:c r="G52" s="59" t="n">
        <x:f>G51*(1-('Scenario Inputs'!J73*'Inputs'!$C$7+(1-'Scenario Inputs'!J73)*'Inputs'!$C$5)-'Inputs'!$C$10-'Inputs'!$C$11)-G10*'Inputs'!$C$13-G15*'Inputs'!$C$14-(G10+G15)*(1-'Scenario Inputs'!J73)*'Inputs'!$C$6-G29-G30-G31</x:f>
        <x:v>4157.143746252863</x:v>
      </x:c>
      <x:c r="H52" s="59" t="n">
        <x:f>H51*(1-('Scenario Inputs'!K73*'Inputs'!$C$7+(1-'Scenario Inputs'!K73)*'Inputs'!$C$5)-'Inputs'!$C$10-'Inputs'!$C$11)-H10*'Inputs'!$C$13-H15*'Inputs'!$C$14-(H10+H15)*(1-'Scenario Inputs'!K73)*'Inputs'!$C$6-H29-H30-H31</x:f>
        <x:v>5184.882652596541</x:v>
      </x:c>
      <x:c r="I52" s="59" t="n">
        <x:f>I51*(1-('Scenario Inputs'!L73*'Inputs'!$C$7+(1-'Scenario Inputs'!L73)*'Inputs'!$C$5)-'Inputs'!$C$10-'Inputs'!$C$11)-I10*'Inputs'!$C$13-I15*'Inputs'!$C$14-(I10+I15)*(1-'Scenario Inputs'!L73)*'Inputs'!$C$6-I29-I30-I31</x:f>
        <x:v>6389.761586281629</x:v>
      </x:c>
      <x:c r="J52" s="59" t="n">
        <x:f>J51*(1-('Scenario Inputs'!M73*'Inputs'!$C$7+(1-'Scenario Inputs'!M73)*'Inputs'!$C$5)-'Inputs'!$C$10-'Inputs'!$C$11)-J10*'Inputs'!$C$13-J15*'Inputs'!$C$14-(J10+J15)*(1-'Scenario Inputs'!M73)*'Inputs'!$C$6-J29-J30-J31</x:f>
        <x:v>7673.994546624588</x:v>
      </x:c>
      <x:c r="K52" s="59" t="n">
        <x:f>K51*(1-('Scenario Inputs'!N73*'Inputs'!$C$7+(1-'Scenario Inputs'!N73)*'Inputs'!$C$5)-'Inputs'!$C$10-'Inputs'!$C$11)-K10*'Inputs'!$C$13-K15*'Inputs'!$C$14-(K10+K15)*(1-'Scenario Inputs'!N73)*'Inputs'!$C$6-K29-K30-K31</x:f>
        <x:v>8974.681182958971</x:v>
      </x:c>
      <x:c r="L52" s="59" t="n">
        <x:f>L51*(1-('Scenario Inputs'!O73*'Inputs'!$C$7+(1-'Scenario Inputs'!O73)*'Inputs'!$C$5)-'Inputs'!$C$10-'Inputs'!$C$11)-L10*'Inputs'!$C$13-L15*'Inputs'!$C$14-(L10+L15)*(1-'Scenario Inputs'!O73)*'Inputs'!$C$6-L29-L30-L31</x:f>
        <x:v>10484.100653384998</x:v>
      </x:c>
      <x:c r="M52" s="59" t="n">
        <x:f>M51*(1-('Scenario Inputs'!P73*'Inputs'!$C$7+(1-'Scenario Inputs'!P73)*'Inputs'!$C$5)-'Inputs'!$C$10-'Inputs'!$C$11)-M10*'Inputs'!$C$13-M15*'Inputs'!$C$14-(M10+M15)*(1-'Scenario Inputs'!P73)*'Inputs'!$C$6-M29-M30-M31</x:f>
        <x:v>11746.844137050372</x:v>
      </x:c>
    </x:row>
    <x:row r="53" ht="22" customHeight="1">
      <x:c r="A53" s="21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</x:row>
    <x:row r="54" ht="22" customHeight="1">
      <x:c r="A54" s="21" t="str">
        <x:v>Qualified setup opportunities required</x:v>
      </x:c>
      <x:c r="B54" s="57" t="n">
        <x:f>ROUNDUP(IFERROR(B5/'Scenario Inputs'!E74,0),0)</x:f>
        <x:v>40</x:v>
      </x:c>
      <x:c r="C54" s="57" t="n">
        <x:f>ROUNDUP(IFERROR(C5/'Scenario Inputs'!F74,0),0)</x:f>
        <x:v>67</x:v>
      </x:c>
      <x:c r="D54" s="57" t="n">
        <x:f>ROUNDUP(IFERROR(D5/'Scenario Inputs'!G74,0),0)</x:f>
        <x:v>80</x:v>
      </x:c>
      <x:c r="E54" s="57" t="n">
        <x:f>ROUNDUP(IFERROR(E5/'Scenario Inputs'!H74,0),0)</x:f>
        <x:v>107</x:v>
      </x:c>
      <x:c r="F54" s="57" t="n">
        <x:f>ROUNDUP(IFERROR(F5/'Scenario Inputs'!I74,0),0)</x:f>
        <x:v>107</x:v>
      </x:c>
      <x:c r="G54" s="57" t="n">
        <x:f>ROUNDUP(IFERROR(G5/'Scenario Inputs'!J74,0),0)</x:f>
        <x:v>134</x:v>
      </x:c>
      <x:c r="H54" s="57" t="n">
        <x:f>ROUNDUP(IFERROR(H5/'Scenario Inputs'!K74,0),0)</x:f>
        <x:v>134</x:v>
      </x:c>
      <x:c r="I54" s="57" t="n">
        <x:f>ROUNDUP(IFERROR(I5/'Scenario Inputs'!L74,0),0)</x:f>
        <x:v>160</x:v>
      </x:c>
      <x:c r="J54" s="57" t="n">
        <x:f>ROUNDUP(IFERROR(J5/'Scenario Inputs'!M74,0),0)</x:f>
        <x:v>160</x:v>
      </x:c>
      <x:c r="K54" s="57" t="n">
        <x:f>ROUNDUP(IFERROR(K5/'Scenario Inputs'!N74,0),0)</x:f>
        <x:v>187</x:v>
      </x:c>
      <x:c r="L54" s="57" t="n">
        <x:f>ROUNDUP(IFERROR(L5/'Scenario Inputs'!O74,0),0)</x:f>
        <x:v>187</x:v>
      </x:c>
      <x:c r="M54" s="57" t="n">
        <x:f>ROUNDUP(IFERROR(M5/'Scenario Inputs'!P74,0),0)</x:f>
        <x:v>214</x:v>
      </x:c>
    </x:row>
    <x:row r="55" ht="22" customHeight="1">
      <x:c r="A55" s="21" t="str">
        <x:v>Qualified toolkit visitors required</x:v>
      </x:c>
      <x:c r="B55" s="57" t="n">
        <x:f>ROUNDUP(IFERROR('Scenario Inputs'!E62/'Scenario Inputs'!E75,0),0)</x:f>
        <x:v>100</x:v>
      </x:c>
      <x:c r="C55" s="57" t="n">
        <x:f>ROUNDUP(IFERROR('Scenario Inputs'!F62/'Scenario Inputs'!F75,0),0)</x:f>
        <x:v>334</x:v>
      </x:c>
      <x:c r="D55" s="57" t="n">
        <x:f>ROUNDUP(IFERROR('Scenario Inputs'!G62/'Scenario Inputs'!G75,0),0)</x:f>
        <x:v>834</x:v>
      </x:c>
      <x:c r="E55" s="57" t="n">
        <x:f>ROUNDUP(IFERROR('Scenario Inputs'!H62/'Scenario Inputs'!H75,0),0)</x:f>
        <x:v>1334</x:v>
      </x:c>
      <x:c r="F55" s="57" t="n">
        <x:f>ROUNDUP(IFERROR('Scenario Inputs'!I62/'Scenario Inputs'!I75,0),0)</x:f>
        <x:v>2000</x:v>
      </x:c>
      <x:c r="G55" s="57" t="n">
        <x:f>ROUNDUP(IFERROR('Scenario Inputs'!J62/'Scenario Inputs'!J75,0),0)</x:f>
        <x:v>3000</x:v>
      </x:c>
      <x:c r="H55" s="57" t="n">
        <x:f>ROUNDUP(IFERROR('Scenario Inputs'!K62/'Scenario Inputs'!K75,0),0)</x:f>
        <x:v>4000</x:v>
      </x:c>
      <x:c r="I55" s="57" t="n">
        <x:f>ROUNDUP(IFERROR('Scenario Inputs'!L62/'Scenario Inputs'!L75,0),0)</x:f>
        <x:v>5000</x:v>
      </x:c>
      <x:c r="J55" s="57" t="n">
        <x:f>ROUNDUP(IFERROR('Scenario Inputs'!M62/'Scenario Inputs'!M75,0),0)</x:f>
        <x:v>6000</x:v>
      </x:c>
      <x:c r="K55" s="57" t="n">
        <x:f>ROUNDUP(IFERROR('Scenario Inputs'!N62/'Scenario Inputs'!N75,0),0)</x:f>
        <x:v>7334</x:v>
      </x:c>
      <x:c r="L55" s="57" t="n">
        <x:f>ROUNDUP(IFERROR('Scenario Inputs'!O62/'Scenario Inputs'!O75,0),0)</x:f>
        <x:v>8667</x:v>
      </x:c>
      <x:c r="M55" s="57" t="n">
        <x:f>ROUNDUP(IFERROR('Scenario Inputs'!P62/'Scenario Inputs'!P75,0),0)</x:f>
        <x:v>10000</x:v>
      </x:c>
    </x:row>
    <x:row r="56" ht="22" customHeight="1">
      <x:c r="A56" s="21" t="str">
        <x:v>New monitoring site commitments needed</x:v>
      </x:c>
      <x:c r="B56" s="57" t="n">
        <x:f>B14</x:f>
        <x:v>0</x:v>
      </x:c>
      <x:c r="C56" s="57" t="n">
        <x:f>C14</x:f>
        <x:v>3</x:v>
      </x:c>
      <x:c r="D56" s="57" t="n">
        <x:f>D14</x:f>
        <x:v>5</x:v>
      </x:c>
      <x:c r="E56" s="57" t="n">
        <x:f>E14</x:f>
        <x:v>8</x:v>
      </x:c>
      <x:c r="F56" s="57" t="n">
        <x:f>F14</x:f>
        <x:v>10</x:v>
      </x:c>
      <x:c r="G56" s="57" t="n">
        <x:f>G14</x:f>
        <x:v>12</x:v>
      </x:c>
      <x:c r="H56" s="57" t="n">
        <x:f>H14</x:f>
        <x:v>15</x:v>
      </x:c>
      <x:c r="I56" s="57" t="n">
        <x:f>I14</x:f>
        <x:v>18</x:v>
      </x:c>
      <x:c r="J56" s="57" t="n">
        <x:f>J14</x:f>
        <x:v>20</x:v>
      </x:c>
      <x:c r="K56" s="57" t="n">
        <x:f>K14</x:f>
        <x:v>25</x:v>
      </x:c>
      <x:c r="L56" s="57" t="n">
        <x:f>L14</x:f>
        <x:v>25</x:v>
      </x:c>
      <x:c r="M56" s="57" t="n">
        <x:f>M14</x:f>
        <x:v>30</x:v>
      </x:c>
    </x:row>
    <x:row r="57" ht="22" customHeight="1">
      <x:c r="A57" s="21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</x:row>
    <x:row r="58" ht="22" customHeight="1">
      <x:c r="A58" s="21" t="str">
        <x:v>Illustrative tax cash reserve — not tax owed</x:v>
      </x:c>
      <x:c r="B58" s="59" t="n">
        <x:f>MAX(B35,0)*'Inputs'!$C$18</x:f>
        <x:v>393.4567125</x:v>
      </x:c>
      <x:c r="C58" s="59" t="n">
        <x:f>MAX(C35,0)*'Inputs'!$C$18</x:f>
        <x:v>1544.4142621874998</x:v>
      </x:c>
      <x:c r="D58" s="59" t="n">
        <x:f>MAX(D35,0)*'Inputs'!$C$18</x:f>
        <x:v>2189.856698132812</x:v>
      </x:c>
      <x:c r="E58" s="59" t="n">
        <x:f>MAX(E35,0)*'Inputs'!$C$18</x:f>
        <x:v>3221.600053179492</x:v>
      </x:c>
      <x:c r="F58" s="59" t="n">
        <x:f>MAX(F35,0)*'Inputs'!$C$18</x:f>
        <x:v>3786.682911850005</x:v>
      </x:c>
      <x:c r="G58" s="59" t="n">
        <x:f>MAX(G35,0)*'Inputs'!$C$18</x:f>
        <x:v>5137.728169053756</x:v>
      </x:c>
      <x:c r="H58" s="59" t="n">
        <x:f>MAX(H35,0)*'Inputs'!$C$18</x:f>
        <x:v>5914.151459827411</x:v>
      </x:c>
      <x:c r="I58" s="59" t="n">
        <x:f>MAX(I35,0)*'Inputs'!$C$18</x:f>
        <x:v>7217.523635831724</x:v>
      </x:c>
      <x:c r="J58" s="59" t="n">
        <x:f>MAX(J35,0)*'Inputs'!$C$18</x:f>
        <x:v>8032.528219935932</x:v>
      </x:c>
      <x:c r="K58" s="59" t="n">
        <x:f>MAX(K35,0)*'Inputs'!$C$18</x:f>
        <x:v>9560.683459437532</x:v>
      </x:c>
      <x:c r="L58" s="59" t="n">
        <x:f>MAX(L35,0)*'Inputs'!$C$18</x:f>
        <x:v>10476.599375451595</x:v>
      </x:c>
      <x:c r="M58" s="59" t="n">
        <x:f>MAX(M35,0)*'Inputs'!$C$18</x:f>
        <x:v>11995.341118565304</x:v>
      </x:c>
    </x:row>
    <x:row r="59" ht="22" customHeight="1">
      <x:c r="A59" s="21" t="str">
        <x:v>Profit less illustrative reserve</x:v>
      </x:c>
      <x:c r="B59" s="59" t="n">
        <x:f>B35-B58</x:f>
        <x:v>918.0656625</x:v>
      </x:c>
      <x:c r="C59" s="59" t="n">
        <x:f>C35-C58</x:f>
        <x:v>3603.6332784375</x:v>
      </x:c>
      <x:c r="D59" s="59" t="n">
        <x:f>D35-D58</x:f>
        <x:v>5109.665628976562</x:v>
      </x:c>
      <x:c r="E59" s="59" t="n">
        <x:f>E35-E58</x:f>
        <x:v>7517.066790752147</x:v>
      </x:c>
      <x:c r="F59" s="59" t="n">
        <x:f>F35-F58</x:f>
        <x:v>8835.593460983346</x:v>
      </x:c>
      <x:c r="G59" s="59" t="n">
        <x:f>G35-G58</x:f>
        <x:v>11988.032394458762</x:v>
      </x:c>
      <x:c r="H59" s="59" t="n">
        <x:f>H35-H58</x:f>
        <x:v>13799.686739597291</x:v>
      </x:c>
      <x:c r="I59" s="59" t="n">
        <x:f>I35-I58</x:f>
        <x:v>16840.88848360736</x:v>
      </x:c>
      <x:c r="J59" s="59" t="n">
        <x:f>J35-J58</x:f>
        <x:v>18742.565846517176</x:v>
      </x:c>
      <x:c r="K59" s="59" t="n">
        <x:f>K35-K58</x:f>
        <x:v>22308.261405354246</x:v>
      </x:c>
      <x:c r="L59" s="59" t="n">
        <x:f>L35-L58</x:f>
        <x:v>24445.398542720388</x:v>
      </x:c>
      <x:c r="M59" s="59" t="n">
        <x:f>M35-M58</x:f>
        <x:v>27989.129276652377</x:v>
      </x:c>
    </x:row>
    <x:row r="60" ht="22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</x:row>
    <x:row r="61" ht="48" customHeight="1">
      <x:c r="A61" s="22" t="str">
        <x:v>Data notes</x:v>
      </x:c>
      <x:c r="B61" s="22" t="str">
        <x:v>Recurring-only contribution proxy = exit MRR less its variable/fee reserves and ALL modeled fixed, marketing and contractor costs. It excludes new setup/kit revenue, owner time and tax; it is not passive take-home pay.</x:v>
      </x:c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</x:row>
  </x:sheetData>
  <x:mergeCells>
    <x:mergeCell ref="A1:M1"/>
    <x:mergeCell ref="A2:M2"/>
    <x:mergeCell ref="B61:M6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3" t="str">
        <x:v>FORECAST DASHBOARD — CONDITIONAL, NOT EXPECTED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Three scenarios. Base assumes repeated acquisition and delivery; optimistic assumes partner distribution and substantial paid help.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Scenario</x:v>
      </x:c>
      <x:c r="B4" s="28" t="str">
        <x:v>Month</x:v>
      </x:c>
      <x:c r="C4" s="28" t="str">
        <x:v>Earned revenue</x:v>
      </x:c>
      <x:c r="D4" s="28" t="str">
        <x:v>Expenses</x:v>
      </x:c>
      <x:c r="E4" s="28" t="str">
        <x:v>Operating profit</x:v>
      </x:c>
      <x:c r="F4" s="28" t="str">
        <x:v>Exit MRR</x:v>
      </x:c>
      <x:c r="G4" s="28" t="str">
        <x:v>Owner hours/mo</x:v>
      </x:c>
      <x:c r="H4" s="28" t="str">
        <x:v>After owner time</x:v>
      </x:c>
      <x:c r="I4" s="28" t="str">
        <x:v>Recurring-only proxy</x:v>
      </x:c>
      <x:c r="K4" t="str">
        <x:v>Month</x:v>
      </x:c>
      <x:c r="L4" t="str">
        <x:v>Pessimistic</x:v>
      </x:c>
      <x:c r="M4" t="str">
        <x:v>Base</x:v>
      </x:c>
      <x:c r="N4" t="str">
        <x:v>Optimistic</x:v>
      </x:c>
    </x:row>
    <x:row r="5" ht="42" customHeight="1">
      <x:c r="A5" s="25" t="str">
        <x:v>Pessimistic</x:v>
      </x:c>
      <x:c r="B5" s="25" t="n">
        <x:v>1</x:v>
      </x:c>
      <x:c r="C5" s="33" t="n">
        <x:f>'Pessimistic'!B23</x:f>
        <x:v>0</x:v>
      </x:c>
      <x:c r="D5" s="33" t="n">
        <x:f>'Pessimistic'!B33</x:f>
        <x:v>85</x:v>
      </x:c>
      <x:c r="E5" s="33" t="n">
        <x:f>'Pessimistic'!B35</x:f>
        <x:v>-85</x:v>
      </x:c>
      <x:c r="F5" s="33" t="n">
        <x:f>'Pessimistic'!B51</x:f>
        <x:v>0</x:v>
      </x:c>
      <x:c r="G5" s="85" t="n">
        <x:f>'Pessimistic'!B45</x:f>
        <x:v>38</x:v>
      </x:c>
      <x:c r="H5" s="33" t="n">
        <x:f>'Pessimistic'!B48</x:f>
        <x:v>-1225</x:v>
      </x:c>
      <x:c r="I5" s="33" t="n">
        <x:f>'Pessimistic'!B52</x:f>
        <x:v>-55</x:v>
      </x:c>
      <x:c r="K5" t="n">
        <x:v>1</x:v>
      </x:c>
      <x:c r="L5" t="n">
        <x:f>'Pessimistic'!B35</x:f>
        <x:v>-85</x:v>
      </x:c>
      <x:c r="M5" t="n">
        <x:f>'Base'!B35</x:f>
        <x:v>410.13699999999994</x:v>
      </x:c>
      <x:c r="N5" t="n">
        <x:f>'Optimistic'!B35</x:f>
        <x:v>1311.522375</x:v>
      </x:c>
    </x:row>
    <x:row r="6" ht="42" customHeight="1">
      <x:c r="A6" s="25" t="str">
        <x:v>Pessimistic</x:v>
      </x:c>
      <x:c r="B6" s="25" t="n">
        <x:v>2</x:v>
      </x:c>
      <x:c r="C6" s="33" t="n">
        <x:f>'Pessimistic'!C23</x:f>
        <x:v>299</x:v>
      </x:c>
      <x:c r="D6" s="33" t="n">
        <x:f>'Pessimistic'!C33</x:f>
        <x:v>98.505</x:v>
      </x:c>
      <x:c r="E6" s="33" t="n">
        <x:f>'Pessimistic'!C35</x:f>
        <x:v>200.495</x:v>
      </x:c>
      <x:c r="F6" s="33" t="n">
        <x:f>'Pessimistic'!C51</x:f>
        <x:v>0</x:v>
      </x:c>
      <x:c r="G6" s="85" t="n">
        <x:f>'Pessimistic'!C45</x:f>
        <x:v>26</x:v>
      </x:c>
      <x:c r="H6" s="33" t="n">
        <x:f>'Pessimistic'!C48</x:f>
        <x:v>-579.505</x:v>
      </x:c>
      <x:c r="I6" s="33" t="n">
        <x:f>'Pessimistic'!C52</x:f>
        <x:v>-45</x:v>
      </x:c>
      <x:c r="K6" t="n">
        <x:v>2</x:v>
      </x:c>
      <x:c r="L6" t="n">
        <x:f>'Pessimistic'!C35</x:f>
        <x:v>200.495</x:v>
      </x:c>
      <x:c r="M6" t="n">
        <x:f>'Base'!C35</x:f>
        <x:v>2072.57612</x:v>
      </x:c>
      <x:c r="N6" t="n">
        <x:f>'Optimistic'!C35</x:f>
        <x:v>5148.047540625</x:v>
      </x:c>
    </x:row>
    <x:row r="7" ht="42" customHeight="1">
      <x:c r="A7" s="25" t="str">
        <x:v>Pessimistic</x:v>
      </x:c>
      <x:c r="B7" s="25" t="n">
        <x:v>3</x:v>
      </x:c>
      <x:c r="C7" s="33" t="n">
        <x:f>'Pessimistic'!D23</x:f>
        <x:v>0</x:v>
      </x:c>
      <x:c r="D7" s="33" t="n">
        <x:f>'Pessimistic'!D33</x:f>
        <x:v>0</x:v>
      </x:c>
      <x:c r="E7" s="33" t="n">
        <x:f>'Pessimistic'!D35</x:f>
        <x:v>0</x:v>
      </x:c>
      <x:c r="F7" s="33" t="n">
        <x:f>'Pessimistic'!D51</x:f>
        <x:v>0</x:v>
      </x:c>
      <x:c r="G7" s="85" t="n">
        <x:f>'Pessimistic'!D45</x:f>
        <x:v>1</x:v>
      </x:c>
      <x:c r="H7" s="33" t="n">
        <x:f>'Pessimistic'!D48</x:f>
        <x:v>-30</x:v>
      </x:c>
      <x:c r="I7" s="33" t="n">
        <x:f>'Pessimistic'!D52</x:f>
        <x:v>0</x:v>
      </x:c>
      <x:c r="K7" t="n">
        <x:v>3</x:v>
      </x:c>
      <x:c r="L7" t="n">
        <x:f>'Pessimistic'!D35</x:f>
        <x:v>0</x:v>
      </x:c>
      <x:c r="M7" t="n">
        <x:f>'Base'!D35</x:f>
        <x:v>3157.0552751999994</x:v>
      </x:c>
      <x:c r="N7" t="n">
        <x:f>'Optimistic'!D35</x:f>
        <x:v>7299.522327109375</x:v>
      </x:c>
    </x:row>
    <x:row r="8" ht="42" customHeight="1">
      <x:c r="A8" s="25" t="str">
        <x:v>Pessimistic</x:v>
      </x:c>
      <x:c r="B8" s="25" t="n">
        <x:v>6</x:v>
      </x:c>
      <x:c r="C8" s="33" t="n">
        <x:f>'Pessimistic'!G23</x:f>
        <x:v>0</x:v>
      </x:c>
      <x:c r="D8" s="33" t="n">
        <x:f>'Pessimistic'!G33</x:f>
        <x:v>0</x:v>
      </x:c>
      <x:c r="E8" s="33" t="n">
        <x:f>'Pessimistic'!G35</x:f>
        <x:v>0</x:v>
      </x:c>
      <x:c r="F8" s="33" t="n">
        <x:f>'Pessimistic'!G51</x:f>
        <x:v>0</x:v>
      </x:c>
      <x:c r="G8" s="85" t="n">
        <x:f>'Pessimistic'!G45</x:f>
        <x:v>0</x:v>
      </x:c>
      <x:c r="H8" s="33" t="n">
        <x:f>'Pessimistic'!G48</x:f>
        <x:v>0</x:v>
      </x:c>
      <x:c r="I8" s="33" t="n">
        <x:f>'Pessimistic'!G52</x:f>
        <x:v>0</x:v>
      </x:c>
      <x:c r="K8" t="n">
        <x:v>4</x:v>
      </x:c>
      <x:c r="L8" t="n">
        <x:f>'Pessimistic'!E35</x:f>
        <x:v>0</x:v>
      </x:c>
      <x:c r="M8" t="n">
        <x:f>'Base'!E35</x:f>
        <x:v>3588.312364191999</x:v>
      </x:c>
      <x:c r="N8" t="n">
        <x:f>'Optimistic'!E35</x:f>
        <x:v>10738.66684393164</x:v>
      </x:c>
    </x:row>
    <x:row r="9" ht="42" customHeight="1">
      <x:c r="A9" s="25" t="str">
        <x:v>Pessimistic</x:v>
      </x:c>
      <x:c r="B9" s="25" t="n">
        <x:v>12</x:v>
      </x:c>
      <x:c r="C9" s="33" t="n">
        <x:f>'Pessimistic'!M23</x:f>
        <x:v>0</x:v>
      </x:c>
      <x:c r="D9" s="33" t="n">
        <x:f>'Pessimistic'!M33</x:f>
        <x:v>0</x:v>
      </x:c>
      <x:c r="E9" s="33" t="n">
        <x:f>'Pessimistic'!M35</x:f>
        <x:v>0</x:v>
      </x:c>
      <x:c r="F9" s="33" t="n">
        <x:f>'Pessimistic'!M51</x:f>
        <x:v>0</x:v>
      </x:c>
      <x:c r="G9" s="85" t="n">
        <x:f>'Pessimistic'!M45</x:f>
        <x:v>0</x:v>
      </x:c>
      <x:c r="H9" s="33" t="n">
        <x:f>'Pessimistic'!M48</x:f>
        <x:v>0</x:v>
      </x:c>
      <x:c r="I9" s="33" t="n">
        <x:f>'Pessimistic'!M52</x:f>
        <x:v>0</x:v>
      </x:c>
      <x:c r="K9" t="n">
        <x:v>5</x:v>
      </x:c>
      <x:c r="L9" t="n">
        <x:f>'Pessimistic'!F35</x:f>
        <x:v>0</x:v>
      </x:c>
      <x:c r="M9" t="n">
        <x:f>'Base'!F35</x:f>
        <x:v>3962.7054696243204</x:v>
      </x:c>
      <x:c r="N9" t="n">
        <x:f>'Optimistic'!F35</x:f>
        <x:v>12622.27637283335</x:v>
      </x:c>
    </x:row>
    <x:row r="10" ht="42" customHeight="1">
      <x:c r="A10" s="25" t="str">
        <x:v>Base</x:v>
      </x:c>
      <x:c r="B10" s="25" t="n">
        <x:v>1</x:v>
      </x:c>
      <x:c r="C10" s="33" t="n">
        <x:f>'Base'!B23</x:f>
        <x:v>687.4</x:v>
      </x:c>
      <x:c r="D10" s="33" t="n">
        <x:f>'Base'!B33</x:f>
        <x:v>277.26300000000003</x:v>
      </x:c>
      <x:c r="E10" s="33" t="n">
        <x:f>'Base'!B35</x:f>
        <x:v>410.13699999999994</x:v>
      </x:c>
      <x:c r="F10" s="33" t="n">
        <x:f>'Base'!B51</x:f>
        <x:v>178.79999999999998</x:v>
      </x:c>
      <x:c r="G10" s="85" t="n">
        <x:f>'Base'!B45</x:f>
        <x:v>70.3</x:v>
      </x:c>
      <x:c r="H10" s="33" t="n">
        <x:f>'Base'!B48</x:f>
        <x:v>-1698.863</x:v>
      </x:c>
      <x:c r="I10" s="33" t="n">
        <x:f>'Base'!B52</x:f>
        <x:v>38.29399999999998</x:v>
      </x:c>
      <x:c r="K10" t="n">
        <x:v>6</x:v>
      </x:c>
      <x:c r="L10" t="n">
        <x:f>'Pessimistic'!G35</x:f>
        <x:v>0</x:v>
      </x:c>
      <x:c r="M10" t="n">
        <x:f>'Base'!G35</x:f>
        <x:v>4446.661350839347</x:v>
      </x:c>
      <x:c r="N10" t="n">
        <x:f>'Optimistic'!G35</x:f>
        <x:v>17125.76056351252</x:v>
      </x:c>
    </x:row>
    <x:row r="11" ht="42" customHeight="1">
      <x:c r="A11" s="25" t="str">
        <x:v>Base</x:v>
      </x:c>
      <x:c r="B11" s="25" t="n">
        <x:v>2</x:v>
      </x:c>
      <x:c r="C11" s="33" t="n">
        <x:f>'Base'!C23</x:f>
        <x:v>2692.824</x:v>
      </x:c>
      <x:c r="D11" s="33" t="n">
        <x:f>'Base'!C33</x:f>
        <x:v>620.2478799999999</x:v>
      </x:c>
      <x:c r="E11" s="33" t="n">
        <x:f>'Base'!C35</x:f>
        <x:v>2072.57612</x:v>
      </x:c>
      <x:c r="F11" s="33" t="n">
        <x:f>'Base'!C51</x:f>
        <x:v>518.848</x:v>
      </x:c>
      <x:c r="G11" s="85" t="n">
        <x:f>'Base'!C45</x:f>
        <x:v>70.363</x:v>
      </x:c>
      <x:c r="H11" s="33" t="n">
        <x:f>'Base'!C48</x:f>
        <x:v>-38.3138799999997</x:v>
      </x:c>
      <x:c r="I11" s="33" t="n">
        <x:f>'Base'!C52</x:f>
        <x:v>237.59823999999998</x:v>
      </x:c>
      <x:c r="K11" t="n">
        <x:v>7</x:v>
      </x:c>
      <x:c r="L11" t="n">
        <x:f>'Pessimistic'!H35</x:f>
        <x:v>0</x:v>
      </x:c>
      <x:c r="M11" t="n">
        <x:f>'Base'!H35</x:f>
        <x:v>5409.715796805773</x:v>
      </x:c>
      <x:c r="N11" t="n">
        <x:f>'Optimistic'!H35</x:f>
        <x:v>19713.838199424703</x:v>
      </x:c>
    </x:row>
    <x:row r="12" ht="42" customHeight="1">
      <x:c r="A12" s="25" t="str">
        <x:v>Base</x:v>
      </x:c>
      <x:c r="B12" s="25" t="n">
        <x:v>3</x:v>
      </x:c>
      <x:c r="C12" s="33" t="n">
        <x:f>'Base'!D23</x:f>
        <x:v>4105.27104</x:v>
      </x:c>
      <x:c r="D12" s="33" t="n">
        <x:f>'Base'!D33</x:f>
        <x:v>948.2157648</x:v>
      </x:c>
      <x:c r="E12" s="33" t="n">
        <x:f>'Base'!D35</x:f>
        <x:v>3157.0552751999994</x:v>
      </x:c>
      <x:c r="F12" s="33" t="n">
        <x:f>'Base'!D51</x:f>
        <x:v>1013.69408</x:v>
      </x:c>
      <x:c r="G12" s="85" t="n">
        <x:f>'Base'!D45</x:f>
        <x:v>75.04148</x:v>
      </x:c>
      <x:c r="H12" s="33" t="n">
        <x:f>'Base'!D48</x:f>
        <x:v>905.8108751999994</x:v>
      </x:c>
      <x:c r="I12" s="33" t="n">
        <x:f>'Base'!D52</x:f>
        <x:v>553.0723103999999</x:v>
      </x:c>
      <x:c r="K12" t="n">
        <x:v>8</x:v>
      </x:c>
      <x:c r="L12" t="n">
        <x:f>'Pessimistic'!I35</x:f>
        <x:v>0</x:v>
      </x:c>
      <x:c r="M12" t="n">
        <x:f>'Base'!I35</x:f>
        <x:v>5957.062864933543</x:v>
      </x:c>
      <x:c r="N12" t="n">
        <x:f>'Optimistic'!I35</x:f>
        <x:v>24058.412119439083</x:v>
      </x:c>
    </x:row>
    <x:row r="13" ht="42" customHeight="1">
      <x:c r="A13" s="25" t="str">
        <x:v>Base</x:v>
      </x:c>
      <x:c r="B13" s="25" t="n">
        <x:v>6</x:v>
      </x:c>
      <x:c r="C13" s="33" t="n">
        <x:f>'Base'!G23</x:f>
        <x:v>6374.443734845439</x:v>
      </x:c>
      <x:c r="D13" s="33" t="n">
        <x:f>'Base'!G33</x:f>
        <x:v>1927.7823840060928</x:v>
      </x:c>
      <x:c r="E13" s="33" t="n">
        <x:f>'Base'!G35</x:f>
        <x:v>4446.661350839347</x:v>
      </x:c>
      <x:c r="F13" s="33" t="n">
        <x:f>'Base'!G51</x:f>
        <x:v>2689.25100556288</x:v>
      </x:c>
      <x:c r="G13" s="85" t="n">
        <x:f>'Base'!G45</x:f>
        <x:v>73.07745884927999</x:v>
      </x:c>
      <x:c r="H13" s="33" t="n">
        <x:f>'Base'!G48</x:f>
        <x:v>2254.337585360947</x:v>
      </x:c>
      <x:c r="I13" s="33" t="n">
        <x:f>'Base'!G52</x:f>
        <x:v>1359.5441804140546</x:v>
      </x:c>
      <x:c r="K13" t="n">
        <x:v>9</x:v>
      </x:c>
      <x:c r="L13" t="n">
        <x:f>'Pessimistic'!J35</x:f>
        <x:v>0</x:v>
      </x:c>
      <x:c r="M13" t="n">
        <x:f>'Base'!J35</x:f>
        <x:v>6337.902350336202</x:v>
      </x:c>
      <x:c r="N13" t="n">
        <x:f>'Optimistic'!J35</x:f>
        <x:v>26775.094066453108</x:v>
      </x:c>
    </x:row>
    <x:row r="14" ht="42" customHeight="1">
      <x:c r="A14" s="25" t="str">
        <x:v>Base</x:v>
      </x:c>
      <x:c r="B14" s="25" t="n">
        <x:v>12</x:v>
      </x:c>
      <x:c r="C14" s="33" t="n">
        <x:f>'Base'!M23</x:f>
        <x:v>12608.05042052513</x:v>
      </x:c>
      <x:c r="D14" s="33" t="n">
        <x:f>'Base'!M33</x:f>
        <x:v>4646.117601898083</x:v>
      </x:c>
      <x:c r="E14" s="33" t="n">
        <x:f>'Base'!M35</x:f>
        <x:v>7961.932818627048</x:v>
      </x:c>
      <x:c r="F14" s="33" t="n">
        <x:f>'Base'!M51</x:f>
        <x:v>6841.212656840946</x:v>
      </x:c>
      <x:c r="G14" s="85" t="n">
        <x:f>'Base'!M45</x:f>
        <x:v>82.77442683664361</x:v>
      </x:c>
      <x:c r="H14" s="33" t="n">
        <x:f>'Base'!M48</x:f>
        <x:v>5478.700013527739</x:v>
      </x:c>
      <x:c r="I14" s="33" t="n">
        <x:f>'Base'!M52</x:f>
        <x:v>3202.429393757109</x:v>
      </x:c>
      <x:c r="K14" t="n">
        <x:v>10</x:v>
      </x:c>
      <x:c r="L14" t="n">
        <x:f>'Pessimistic'!K35</x:f>
        <x:v>0</x:v>
      </x:c>
      <x:c r="M14" t="n">
        <x:f>'Base'!K35</x:f>
        <x:v>6966.196756322754</x:v>
      </x:c>
      <x:c r="N14" t="n">
        <x:f>'Optimistic'!K35</x:f>
        <x:v>31868.944864791778</x:v>
      </x:c>
    </x:row>
    <x:row r="15" ht="42" customHeight="1">
      <x:c r="A15" s="25" t="str">
        <x:v>Optimistic</x:v>
      </x:c>
      <x:c r="B15" s="25" t="n">
        <x:v>1</x:v>
      </x:c>
      <x:c r="C15" s="33" t="n">
        <x:f>'Optimistic'!B23</x:f>
        <x:v>1924.125</x:v>
      </x:c>
      <x:c r="D15" s="33" t="n">
        <x:f>'Optimistic'!B33</x:f>
        <x:v>612.602625</x:v>
      </x:c>
      <x:c r="E15" s="33" t="n">
        <x:f>'Optimistic'!B35</x:f>
        <x:v>1311.522375</x:v>
      </x:c>
      <x:c r="F15" s="33" t="n">
        <x:f>'Optimistic'!B51</x:f>
        <x:v>560.25</x:v>
      </x:c>
      <x:c r="G15" s="85" t="n">
        <x:f>'Optimistic'!B45</x:f>
        <x:v>87.8625</x:v>
      </x:c>
      <x:c r="H15" s="33" t="n">
        <x:f>'Optimistic'!B48</x:f>
        <x:v>-1324.352625</x:v>
      </x:c>
      <x:c r="I15" s="33" t="n">
        <x:f>'Optimistic'!B52</x:f>
        <x:v>298.86674999999997</x:v>
      </x:c>
      <x:c r="K15" t="n">
        <x:v>11</x:v>
      </x:c>
      <x:c r="L15" t="n">
        <x:f>'Pessimistic'!L35</x:f>
        <x:v>0</x:v>
      </x:c>
      <x:c r="M15" t="n">
        <x:f>'Base'!L35</x:f>
        <x:v>7474.791686069843</x:v>
      </x:c>
      <x:c r="N15" t="n">
        <x:f>'Optimistic'!L35</x:f>
        <x:v>34921.99791817198</x:v>
      </x:c>
    </x:row>
    <x:row r="16" ht="42" customHeight="1">
      <x:c r="A16" s="25" t="str">
        <x:v>Optimistic</x:v>
      </x:c>
      <x:c r="B16" s="25" t="n">
        <x:v>2</x:v>
      </x:c>
      <x:c r="C16" s="33" t="n">
        <x:f>'Optimistic'!C23</x:f>
        <x:v>6750.621875</x:v>
      </x:c>
      <x:c r="D16" s="33" t="n">
        <x:f>'Optimistic'!C33</x:f>
        <x:v>1602.574334375</x:v>
      </x:c>
      <x:c r="E16" s="33" t="n">
        <x:f>'Optimistic'!C35</x:f>
        <x:v>5148.047540625</x:v>
      </x:c>
      <x:c r="F16" s="33" t="n">
        <x:f>'Optimistic'!C51</x:f>
        <x:v>1776.9937499999999</x:v>
      </x:c>
      <x:c r="G16" s="85" t="n">
        <x:f>'Optimistic'!C45</x:f>
        <x:v>89.4234375</x:v>
      </x:c>
      <x:c r="H16" s="33" t="n">
        <x:f>'Optimistic'!C48</x:f>
        <x:v>2465.344415625</x:v>
      </x:c>
      <x:c r="I16" s="33" t="n">
        <x:f>'Optimistic'!C52</x:f>
        <x:v>855.2203312499998</x:v>
      </x:c>
      <x:c r="K16" t="n">
        <x:v>12</x:v>
      </x:c>
      <x:c r="L16" t="n">
        <x:f>'Pessimistic'!M35</x:f>
        <x:v>0</x:v>
      </x:c>
      <x:c r="M16" t="n">
        <x:f>'Base'!M35</x:f>
        <x:v>7961.932818627048</x:v>
      </x:c>
      <x:c r="N16" t="n">
        <x:f>'Optimistic'!M35</x:f>
        <x:v>39984.47039521768</x:v>
      </x:c>
    </x:row>
    <x:row r="17" ht="42" customHeight="1">
      <x:c r="A17" s="25" t="str">
        <x:v>Optimistic</x:v>
      </x:c>
      <x:c r="B17" s="25" t="n">
        <x:v>3</x:v>
      </x:c>
      <x:c r="C17" s="33" t="n">
        <x:f>'Optimistic'!D23</x:f>
        <x:v>10176.531328125</x:v>
      </x:c>
      <x:c r="D17" s="33" t="n">
        <x:f>'Optimistic'!D33</x:f>
        <x:v>2877.009001015625</x:v>
      </x:c>
      <x:c r="E17" s="33" t="n">
        <x:f>'Optimistic'!D35</x:f>
        <x:v>7299.522327109375</x:v>
      </x:c>
      <x:c r="F17" s="33" t="n">
        <x:f>'Optimistic'!D51</x:f>
        <x:v>3348.0689062499996</x:v>
      </x:c>
      <x:c r="G17" s="85" t="n">
        <x:f>'Optimistic'!D45</x:f>
        <x:v>95.4253515625</x:v>
      </x:c>
      <x:c r="H17" s="33" t="n">
        <x:f>'Optimistic'!D48</x:f>
        <x:v>4436.761780234375</x:v>
      </x:c>
      <x:c r="I17" s="33" t="n">
        <x:f>'Optimistic'!D52</x:f>
        <x:v>1459.6383229687494</x:v>
      </x:c>
    </x:row>
    <x:row r="18" ht="42" customHeight="1">
      <x:c r="A18" s="25" t="str">
        <x:v>Optimistic</x:v>
      </x:c>
      <x:c r="B18" s="25" t="n">
        <x:v>6</x:v>
      </x:c>
      <x:c r="C18" s="33" t="n">
        <x:f>'Optimistic'!G23</x:f>
        <x:v>26112.66290395386</x:v>
      </x:c>
      <x:c r="D18" s="33" t="n">
        <x:f>'Optimistic'!G33</x:f>
        <x:v>8986.902340441342</x:v>
      </x:c>
      <x:c r="E18" s="33" t="n">
        <x:f>'Optimistic'!G35</x:f>
        <x:v>17125.76056351252</x:v>
      </x:c>
      <x:c r="F18" s="33" t="n">
        <x:f>'Optimistic'!G51</x:f>
        <x:v>10753.717803903808</x:v>
      </x:c>
      <x:c r="G18" s="85" t="n">
        <x:f>'Optimistic'!G45</x:f>
        <x:v>116.31244420837402</x:v>
      </x:c>
      <x:c r="H18" s="33" t="n">
        <x:f>'Optimistic'!G48</x:f>
        <x:v>13636.387237261297</x:v>
      </x:c>
      <x:c r="I18" s="33" t="n">
        <x:f>'Optimistic'!G52</x:f>
        <x:v>4157.143746252863</x:v>
      </x:c>
    </x:row>
    <x:row r="19" ht="42" customHeight="1">
      <x:c r="A19" s="25" t="str">
        <x:v>Optimistic</x:v>
      </x:c>
      <x:c r="B19" s="25" t="n">
        <x:v>12</x:v>
      </x:c>
      <x:c r="C19" s="33" t="n">
        <x:f>'Optimistic'!M23</x:f>
        <x:v>69552.0518137099</x:v>
      </x:c>
      <x:c r="D19" s="33" t="n">
        <x:f>'Optimistic'!M33</x:f>
        <x:v>29567.58141849222</x:v>
      </x:c>
      <x:c r="E19" s="33" t="n">
        <x:f>'Optimistic'!M35</x:f>
        <x:v>39984.47039521768</x:v>
      </x:c>
      <x:c r="F19" s="33" t="n">
        <x:f>'Optimistic'!M51</x:f>
        <x:v>35498.32963885282</x:v>
      </x:c>
      <x:c r="G19" s="85" t="n">
        <x:f>'Optimistic'!M45</x:f>
        <x:v>123.4505205673527</x:v>
      </x:c>
      <x:c r="H19" s="33" t="n">
        <x:f>'Optimistic'!M48</x:f>
        <x:v>36280.9547781971</x:v>
      </x:c>
      <x:c r="I19" s="33" t="n">
        <x:f>'Optimistic'!M52</x:f>
        <x:v>11746.844137050372</x:v>
      </x:c>
    </x:row>
    <x:row r="20" ht="36" customHeight="1">
      <x:c r="A20" s="18" t="str">
        <x:v>MRR is gross contracted run rate, not profit. A sale may still be unsettled in a processor account. All downside scenarios include zero-sales risk.</x:v>
      </x:c>
      <x:c r="B20" s="18"/>
      <x:c r="C20" s="18"/>
      <x:c r="D20" s="18"/>
      <x:c r="E20" s="18"/>
      <x:c r="F20" s="18"/>
      <x:c r="G20" s="18"/>
      <x:c r="H20" s="18"/>
      <x:c r="I20" s="18"/>
    </x:row>
  </x:sheetData>
  <x:mergeCells>
    <x:mergeCell ref="A1:H1"/>
    <x:mergeCell ref="A2:H2"/>
    <x:mergeCell ref="A20:I20"/>
  </x:mergeCells>
  <x:pageMargins left="0.7" right="0.7" top="0.75" bottom="0.75" header="0.3" footer="0.3"/>
  <x:drawing xmlns:r="http://schemas.openxmlformats.org/officeDocument/2006/relationships" r:id="R2b34861e37004c19"/>
  <x:tableParts count="1">
    <x:tablePart xmlns:r="http://schemas.openxmlformats.org/officeDocument/2006/relationships" r:id="R9f8ba6c49a58476e"/>
  </x:tableParts>
</x:worksheet>
</file>

<file path=xl/worksheets/sheet1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40" hidden="0" customWidth="1"/>
  </x:cols>
  <x:sheetData>
    <x:row r="1" ht="32" customHeight="1">
      <x:c r="A1" s="3" t="str">
        <x:v>FIVE COMPLETE LAUNCH BLUEPRINTS</x:v>
      </x:c>
      <x:c r="B1" s="3"/>
      <x:c r="C1" s="3"/>
      <x:c r="D1" s="3"/>
    </x:row>
    <x:row r="2" ht="32" customHeight="1">
      <x:c r="A2" s="7" t="str">
        <x:v>O01 is the primary launch. O05 and O03 are gated extensions. O02/O04 are alternatives, not simultaneous forecast streams.</x:v>
      </x:c>
      <x:c r="B2" s="7"/>
      <x:c r="C2" s="7"/>
      <x:c r="D2" s="7"/>
    </x:row>
    <x:row r="4" ht="48" customHeight="1">
      <x:c r="A4" s="28" t="str">
        <x:v>ID</x:v>
      </x:c>
      <x:c r="B4" s="28" t="str">
        <x:v>Offer</x:v>
      </x:c>
      <x:c r="C4" s="28" t="str">
        <x:v>Decision</x:v>
      </x:c>
      <x:c r="D4" s="28" t="str">
        <x:v>Implementation</x:v>
      </x:c>
    </x:row>
    <x:row r="5" ht="110" customHeight="1">
      <x:c r="A5" s="25" t="str">
        <x:v>O01</x:v>
      </x:c>
      <x:c r="B5" s="25" t="str">
        <x:v>Recurring-report automation sprint</x:v>
      </x:c>
      <x:c r="C5" s="25" t="str">
        <x:v>1 Concept</x:v>
      </x:c>
      <x:c r="D5" s="25" t="str">
        <x:v>Productized recurring-report automation sprint; sell the outcome before building a general SaaS.</x:v>
      </x:c>
    </x:row>
    <x:row r="6" ht="110" customHeight="1">
      <x:c r="A6" s="25" t="str">
        <x:v>O01</x:v>
      </x:c>
      <x:c r="B6" s="25" t="str">
        <x:v>Recurring-report automation sprint</x:v>
      </x:c>
      <x:c r="C6" s="25" t="str">
        <x:v>2 Target market</x:v>
      </x:c>
      <x:c r="D6" s="25" t="str">
        <x:v>Small agencies/operations teams with one repeatable CSV report consuming at least about two staff-hours/week; exclude regulated or highly sensitive data initially.</x:v>
      </x:c>
    </x:row>
    <x:row r="7" ht="110" customHeight="1">
      <x:c r="A7" s="25" t="str">
        <x:v>O01</x:v>
      </x:c>
      <x:c r="B7" s="25" t="str">
        <x:v>Recurring-report automation sprint</x:v>
      </x:c>
      <x:c r="C7" s="25" t="str">
        <x:v>3 Demand evidence</x:v>
      </x:c>
      <x:c r="D7" s="25" t="str">
        <x:v>Upwork 2026 contracted earnings support technical/analytics work; current automation requests show buying intent. AgencyAnalytics sells reporting software. This does not validate this exact offer.</x:v>
      </x:c>
    </x:row>
    <x:row r="8" ht="110" customHeight="1">
      <x:c r="A8" s="25" t="str">
        <x:v>O01</x:v>
      </x:c>
      <x:c r="B8" s="25" t="str">
        <x:v>Recurring-report automation sprint</x:v>
      </x:c>
      <x:c r="C8" s="25" t="str">
        <x:v>4 Competitive advantage</x:v>
      </x:c>
      <x:c r="D8" s="25" t="str">
        <x:v>Handle the buyer's awkward export and reconciliation accurately; specialize in one workflow that generic dashboards do not solve. Do not sell generic AI summaries.</x:v>
      </x:c>
    </x:row>
    <x:row r="9" ht="110" customHeight="1">
      <x:c r="A9" s="25" t="str">
        <x:v>O01</x:v>
      </x:c>
      <x:c r="B9" s="25" t="str">
        <x:v>Recurring-report automation sprint</x:v>
      </x:c>
      <x:c r="C9" s="25" t="str">
        <x:v>5 Exact product / scope</x:v>
      </x:c>
      <x:c r="D9" s="25" t="str">
        <x:v>One agreed report, at most two already-available CSV exports, &lt;=10,000 rows/file, agreed metrics, HTML/CSV output, repeatable script and one revision. No live APIs, scraping, migration or accounting judgement in the pilot.</x:v>
      </x:c>
    </x:row>
    <x:row r="10" ht="110" customHeight="1">
      <x:c r="A10" s="25" t="str">
        <x:v>O01</x:v>
      </x:c>
      <x:c r="B10" s="25" t="str">
        <x:v>Recurring-report automation sprint</x:v>
      </x:c>
      <x:c r="C10" s="25" t="str">
        <x:v>6 Pricing (CAD)</x:v>
      </x:c>
      <x:c r="D10" s="25" t="str">
        <x:v>First two accepted pilots: 299. Standard after proof: 699. Optional care: 149/month for one defined light workflow; new source formats and large volumes are new quotes.</x:v>
      </x:c>
    </x:row>
    <x:row r="11" ht="110" customHeight="1">
      <x:c r="A11" s="25" t="str">
        <x:v>O01</x:v>
      </x:c>
      <x:c r="B11" s="25" t="str">
        <x:v>Recurring-report automation sprint</x:v>
      </x:c>
      <x:c r="C11" s="25" t="str">
        <x:v>7 Setup time</x:v>
      </x:c>
      <x:c r="D11" s="25" t="str">
        <x:v>Offer/demo: one day. Client-specific delivery: target 4–6 hours over 48 hours after scope, payment milestone and approved sample data. Unfamiliar integrations are excluded.</x:v>
      </x:c>
    </x:row>
    <x:row r="12" ht="110" customHeight="1">
      <x:c r="A12" s="25" t="str">
        <x:v>O01</x:v>
      </x:c>
      <x:c r="B12" s="25" t="str">
        <x:v>Recurring-report automation sprint</x:v>
      </x:c>
      <x:c r="C12" s="25" t="str">
        <x:v>8 Development process</x:v>
      </x:c>
      <x:c r="D12" s="25" t="str">
        <x:v>Run supplied synthetic demo; agree field mappings and KPI definitions; build fixture tests; adapt parser; reconcile sample and full totals; provide instructions and signed-off output; schedule only after approval.</x:v>
      </x:c>
    </x:row>
    <x:row r="13" ht="110" customHeight="1">
      <x:c r="A13" s="25" t="str">
        <x:v>O01</x:v>
      </x:c>
      <x:c r="B13" s="25" t="str">
        <x:v>Recurring-report automation sprint</x:v>
      </x:c>
      <x:c r="C13" s="25" t="str">
        <x:v>9 Tools / accounts</x:v>
      </x:c>
      <x:c r="D13" s="25" t="str">
        <x:v>Local Python and Git; spreadsheet/HTML viewer; marketplace account OR verified Stripe account for independently sourced customers. Use client-owned scheduler/storage initially when appropriate.</x:v>
      </x:c>
    </x:row>
    <x:row r="14" ht="110" customHeight="1">
      <x:c r="A14" s="25" t="str">
        <x:v>O01</x:v>
      </x:c>
      <x:c r="B14" s="25" t="str">
        <x:v>Recurring-report automation sprint</x:v>
      </x:c>
      <x:c r="C14" s="25" t="str">
        <x:v>10 Startup budget</x:v>
      </x:c>
      <x:c r="D14" s="25" t="str">
        <x:v>0–100 for an experiment with existing computer/internet. Registration, insurance and professional review may add costs. Do not buy generic automation subscriptions before a buyer exists.</x:v>
      </x:c>
    </x:row>
    <x:row r="15" ht="110" customHeight="1">
      <x:c r="A15" s="25" t="str">
        <x:v>O01</x:v>
      </x:c>
      <x:c r="B15" s="25" t="str">
        <x:v>Recurring-report automation sprint</x:v>
      </x:c>
      <x:c r="C15" s="25" t="str">
        <x:v>11 Acquisition</x:v>
      </x:c>
      <x:c r="D15" s="25" t="str">
        <x:v>Respond manually to explicit reporting/CSV requests; ask permitted warm contacts for introductions; partner with web agencies. Track relevance and permitted communication basis.</x:v>
      </x:c>
    </x:row>
    <x:row r="16" ht="110" customHeight="1">
      <x:c r="A16" s="25" t="str">
        <x:v>O01</x:v>
      </x:c>
      <x:c r="B16" s="25" t="str">
        <x:v>Recurring-report automation sprint</x:v>
      </x:c>
      <x:c r="C16" s="25" t="str">
        <x:v>12 First sale</x:v>
      </x:c>
      <x:c r="D16" s="25" t="str">
        <x:v>Send a tailored response to a real buying request with one relevant synthetic example; ask for 10 redacted sample rows; offer a fixed-price milestone and objective acceptance checklist.</x:v>
      </x:c>
    </x:row>
    <x:row r="17" ht="110" customHeight="1">
      <x:c r="A17" s="25" t="str">
        <x:v>O01</x:v>
      </x:c>
      <x:c r="B17" s="25" t="str">
        <x:v>Recurring-report automation sprint</x:v>
      </x:c>
      <x:c r="C17" s="25" t="str">
        <x:v>13 Payments</x:v>
      </x:c>
      <x:c r="D17" s="25" t="str">
        <x:v>Upwork-funded milestone for Upwork leads; independently sourced buyers can use Stripe after verification. Do not circumvent platform rules. State cancellation/refund terms and product readiness.</x:v>
      </x:c>
    </x:row>
    <x:row r="18" ht="110" customHeight="1">
      <x:c r="A18" s="25" t="str">
        <x:v>O01</x:v>
      </x:c>
      <x:c r="B18" s="25" t="str">
        <x:v>Recurring-report automation sprint</x:v>
      </x:c>
      <x:c r="C18" s="25" t="str">
        <x:v>14 Automated delivery</x:v>
      </x:c>
      <x:c r="D18" s="25" t="str">
        <x:v>Initially manually approved report -&gt; delivery package. Later signed payment webhook -&gt; client intake -&gt; private job queue -&gt; deterministic parser -&gt; checks -&gt; review exceptions -&gt; secure delivery.</x:v>
      </x:c>
    </x:row>
    <x:row r="19" ht="110" customHeight="1">
      <x:c r="A19" s="25" t="str">
        <x:v>O01</x:v>
      </x:c>
      <x:c r="B19" s="25" t="str">
        <x:v>Recurring-report automation sprint</x:v>
      </x:c>
      <x:c r="C19" s="25" t="str">
        <x:v>15 Maintenance</x:v>
      </x:c>
      <x:c r="D19" s="25" t="str">
        <x:v>Target &lt;=30 minutes/client/month for standardized care plus monthly dependency checks. Sales, onboarding and development are additional founder time.</x:v>
      </x:c>
    </x:row>
    <x:row r="20" ht="110" customHeight="1">
      <x:c r="A20" s="25" t="str">
        <x:v>O01</x:v>
      </x:c>
      <x:c r="B20" s="25" t="str">
        <x:v>Recurring-report automation sprint</x:v>
      </x:c>
      <x:c r="C20" s="25" t="str">
        <x:v>16 Growth</x:v>
      </x:c>
      <x:c r="D20" s="25" t="str">
        <x:v>After three accepted projects, retain reusable non-client-specific code; narrow supported formats; sell care and toolkit. Add agency reseller partners, not unlimited custom integrations.</x:v>
      </x:c>
    </x:row>
    <x:row r="21" ht="110" customHeight="1">
      <x:c r="A21" s="25" t="str">
        <x:v>O01</x:v>
      </x:c>
      <x:c r="B21" s="25" t="str">
        <x:v>Recurring-report automation sprint</x:v>
      </x:c>
      <x:c r="C21" s="25" t="str">
        <x:v>17 Financial scenarios</x:v>
      </x:c>
      <x:c r="D21" s="25" t="str">
        <x:v>Isolated active-month illustration: two 699 setups, 13% blended fees/refund allowance, 10 delivery cost each, 0.30 flat each, 110 fixed/acquisition -&gt; about 1,086 before owner pay/tax. Zero sales -&gt; lose 110 plus initial costs. Portfolio model is separate.</x:v>
      </x:c>
    </x:row>
    <x:row r="22" ht="110" customHeight="1">
      <x:c r="A22" s="25" t="str">
        <x:v>O01</x:v>
      </x:c>
      <x:c r="B22" s="25" t="str">
        <x:v>Recurring-report automation sprint</x:v>
      </x:c>
      <x:c r="C22" s="25" t="str">
        <x:v>18 Risks</x:v>
      </x:c>
      <x:c r="D22" s="25" t="str">
        <x:v>Scope creep, free/cheap alternatives, bad definitions, leakage of client data, inadequate skills. Never claim delivered production automation from a demo alone.</x:v>
      </x:c>
    </x:row>
    <x:row r="23" ht="110" customHeight="1">
      <x:c r="A23" s="25" t="str">
        <x:v>O01</x:v>
      </x:c>
      <x:c r="B23" s="25" t="str">
        <x:v>Recurring-report automation sprint</x:v>
      </x:c>
      <x:c r="C23" s="25" t="str">
        <x:v>19 Kill / pivot gate</x:v>
      </x:c>
      <x:c r="D23" s="25" t="str">
        <x:v>After 30–40 qualified relevant proposals and 10 substantive discussions, no paid pilot -&gt; revise pain/segment once. After two iterations without payment, stop this offer. Decline work that cannot be tested.</x:v>
      </x:c>
    </x:row>
    <x:row r="24" ht="110" customHeight="1">
      <x:c r="A24" s="25" t="str">
        <x:v>O01</x:v>
      </x:c>
      <x:c r="B24" s="25" t="str">
        <x:v>Recurring-report automation sprint</x:v>
      </x:c>
      <x:c r="C24" s="25" t="str">
        <x:v>20 Fastest schedule</x:v>
      </x:c>
      <x:c r="D24" s="25" t="str">
        <x:v>Day 1: one-page offer + demo. Day 2: 5–10 high-fit requested-work replies and sample review. Day 3: attempt first paid milestone; deliver only when acceptance conditions are agreed.</x:v>
      </x:c>
    </x:row>
    <x:row r="25" ht="110" customHeight="1">
      <x:c r="A25" s="25" t="str">
        <x:v>O02</x:v>
      </x:c>
      <x:c r="B25" s="25" t="str">
        <x:v>Supplier catalog cleanup</x:v>
      </x:c>
      <x:c r="C25" s="25" t="str">
        <x:v>1 Concept</x:v>
      </x:c>
      <x:c r="D25" s="25" t="str">
        <x:v>Supplier-catalog normalization and dry-run import service.</x:v>
      </x:c>
    </x:row>
    <x:row r="26" ht="110" customHeight="1">
      <x:c r="A26" s="25" t="str">
        <x:v>O02</x:v>
      </x:c>
      <x:c r="B26" s="25" t="str">
        <x:v>Supplier catalog cleanup</x:v>
      </x:c>
      <x:c r="C26" s="25" t="str">
        <x:v>2 Target market</x:v>
      </x:c>
      <x:c r="D26" s="25" t="str">
        <x:v>Merchants with repeated supplier CSV problems and small ecommerce agencies handling those merchants.</x:v>
      </x:c>
    </x:row>
    <x:row r="27" ht="110" customHeight="1">
      <x:c r="A27" s="25" t="str">
        <x:v>O02</x:v>
      </x:c>
      <x:c r="B27" s="25" t="str">
        <x:v>Supplier catalog cleanup</x:v>
      </x:c>
      <x:c r="C27" s="25" t="str">
        <x:v>3 Demand evidence</x:v>
      </x:c>
      <x:c r="D27" s="25" t="str">
        <x:v>Matrixify lists paid plans and has a Shopify listing with user feedback. Existing import tools validate category spending, but strongly constrain a generic import offer.</x:v>
      </x:c>
    </x:row>
    <x:row r="28" ht="110" customHeight="1">
      <x:c r="A28" s="25" t="str">
        <x:v>O02</x:v>
      </x:c>
      <x:c r="B28" s="25" t="str">
        <x:v>Supplier catalog cleanup</x:v>
      </x:c>
      <x:c r="C28" s="25" t="str">
        <x:v>4 Competitive advantage</x:v>
      </x:c>
      <x:c r="D28" s="25" t="str">
        <x:v>Sell data cleanup and a reproducible mapping, not software that merely imports a CSV. Specialize by supplier or product vertical.</x:v>
      </x:c>
    </x:row>
    <x:row r="29" ht="110" customHeight="1">
      <x:c r="A29" s="25" t="str">
        <x:v>O02</x:v>
      </x:c>
      <x:c r="B29" s="25" t="str">
        <x:v>Supplier catalog cleanup</x:v>
      </x:c>
      <x:c r="C29" s="25" t="str">
        <x:v>5 Exact product / scope</x:v>
      </x:c>
      <x:c r="D29" s="25" t="str">
        <x:v>One supplier, one agreed target import schema, &lt;=1,000 product rows for pilot, SKU/required-field checks, duplicate report and import-ready file. No live product edits included.</x:v>
      </x:c>
    </x:row>
    <x:row r="30" ht="110" customHeight="1">
      <x:c r="A30" s="25" t="str">
        <x:v>O02</x:v>
      </x:c>
      <x:c r="B30" s="25" t="str">
        <x:v>Supplier catalog cleanup</x:v>
      </x:c>
      <x:c r="C30" s="25" t="str">
        <x:v>6 Pricing (CAD)</x:v>
      </x:c>
      <x:c r="D30" s="25" t="str">
        <x:v>399 pilot; 499 standardized small import after proof, 999 only for separately scoped complexity. Optional 149/month feed-check care with strict volume/source caps.</x:v>
      </x:c>
    </x:row>
    <x:row r="31" ht="110" customHeight="1">
      <x:c r="A31" s="25" t="str">
        <x:v>O02</x:v>
      </x:c>
      <x:c r="B31" s="25" t="str">
        <x:v>Supplier catalog cleanup</x:v>
      </x:c>
      <x:c r="C31" s="25" t="str">
        <x:v>7 Setup time</x:v>
      </x:c>
      <x:c r="D31" s="25" t="str">
        <x:v>Offer/demo 1–2 days; pilot delivery 3–5 hours when source and target schema are known.</x:v>
      </x:c>
    </x:row>
    <x:row r="32" ht="110" customHeight="1">
      <x:c r="A32" s="25" t="str">
        <x:v>O02</x:v>
      </x:c>
      <x:c r="B32" s="25" t="str">
        <x:v>Supplier catalog cleanup</x:v>
      </x:c>
      <x:c r="C32" s="25" t="str">
        <x:v>8 Development process</x:v>
      </x:c>
      <x:c r="D32" s="25" t="str">
        <x:v>Obtain authorized redacted CSV; preserve original; profile missing fields; define transformations; create fixtures; export target schema; dry-run in a sandbox; hand over error manifest and rollback instructions.</x:v>
      </x:c>
    </x:row>
    <x:row r="33" ht="110" customHeight="1">
      <x:c r="A33" s="25" t="str">
        <x:v>O02</x:v>
      </x:c>
      <x:c r="B33" s="25" t="str">
        <x:v>Supplier catalog cleanup</x:v>
      </x:c>
      <x:c r="C33" s="25" t="str">
        <x:v>9 Tools / accounts</x:v>
      </x:c>
      <x:c r="D33" s="25" t="str">
        <x:v>Python CSV tooling; merchant-owned import tool/account; client-approved test store when needed. No paid public app required.</x:v>
      </x:c>
    </x:row>
    <x:row r="34" ht="110" customHeight="1">
      <x:c r="A34" s="25" t="str">
        <x:v>O02</x:v>
      </x:c>
      <x:c r="B34" s="25" t="str">
        <x:v>Supplier catalog cleanup</x:v>
      </x:c>
      <x:c r="C34" s="25" t="str">
        <x:v>10 Startup budget</x:v>
      </x:c>
      <x:c r="D34" s="25" t="str">
        <x:v>0–100 experiment budget; merchant pays its own importer and store subscription.</x:v>
      </x:c>
    </x:row>
    <x:row r="35" ht="110" customHeight="1">
      <x:c r="A35" s="25" t="str">
        <x:v>O02</x:v>
      </x:c>
      <x:c r="B35" s="25" t="str">
        <x:v>Supplier catalog cleanup</x:v>
      </x:c>
      <x:c r="C35" s="25" t="str">
        <x:v>11 Acquisition</x:v>
      </x:c>
      <x:c r="D35" s="25" t="str">
        <x:v>Reply to actual failed-import requests; ask Shopify agencies for overflow cleanup; find multiple merchants of the same willing supplier.</x:v>
      </x:c>
    </x:row>
    <x:row r="36" ht="110" customHeight="1">
      <x:c r="A36" s="25" t="str">
        <x:v>O02</x:v>
      </x:c>
      <x:c r="B36" s="25" t="str">
        <x:v>Supplier catalog cleanup</x:v>
      </x:c>
      <x:c r="C36" s="25" t="str">
        <x:v>12 First sale</x:v>
      </x:c>
      <x:c r="D36" s="25" t="str">
        <x:v>Offer a fixed-price cleanup after inspecting a small sample; show exact validation failures, not a fabricated store problem.</x:v>
      </x:c>
    </x:row>
    <x:row r="37" ht="110" customHeight="1">
      <x:c r="A37" s="25" t="str">
        <x:v>O02</x:v>
      </x:c>
      <x:c r="B37" s="25" t="str">
        <x:v>Supplier catalog cleanup</x:v>
      </x:c>
      <x:c r="C37" s="25" t="str">
        <x:v>13 Payments</x:v>
      </x:c>
      <x:c r="D37" s="25" t="str">
        <x:v>Marketplace milestone or direct Stripe for independently sourced buyers. Final import/write requires a separate explicit customer approval.</x:v>
      </x:c>
    </x:row>
    <x:row r="38" ht="110" customHeight="1">
      <x:c r="A38" s="25" t="str">
        <x:v>O02</x:v>
      </x:c>
      <x:c r="B38" s="25" t="str">
        <x:v>Supplier catalog cleanup</x:v>
      </x:c>
      <x:c r="C38" s="25" t="str">
        <x:v>14 Automated delivery</x:v>
      </x:c>
      <x:c r="D38" s="25" t="str">
        <x:v>Approved file upload -&gt; schema checks -&gt; normalization -&gt; validation manifest -&gt; secure file delivery. Human review remains before destructive changes.</x:v>
      </x:c>
    </x:row>
    <x:row r="39" ht="110" customHeight="1">
      <x:c r="A39" s="25" t="str">
        <x:v>O02</x:v>
      </x:c>
      <x:c r="B39" s="25" t="str">
        <x:v>Supplier catalog cleanup</x:v>
      </x:c>
      <x:c r="C39" s="25" t="str">
        <x:v>15 Maintenance</x:v>
      </x:c>
      <x:c r="D39" s="25" t="str">
        <x:v>~1–2 hours/month per standardized source plus paid new mappings. Schema changes are not unlimited free support.</x:v>
      </x:c>
    </x:row>
    <x:row r="40" ht="110" customHeight="1">
      <x:c r="A40" s="25" t="str">
        <x:v>O02</x:v>
      </x:c>
      <x:c r="B40" s="25" t="str">
        <x:v>Supplier catalog cleanup</x:v>
      </x:c>
      <x:c r="C40" s="25" t="str">
        <x:v>16 Growth</x:v>
      </x:c>
      <x:c r="D40" s="25" t="str">
        <x:v>Reuse one supplier mapper across authorized buyers, then add read-only catalog QA. Build a public app only after retained demand.</x:v>
      </x:c>
    </x:row>
    <x:row r="41" ht="110" customHeight="1">
      <x:c r="A41" s="25" t="str">
        <x:v>O02</x:v>
      </x:c>
      <x:c r="B41" s="25" t="str">
        <x:v>Supplier catalog cleanup</x:v>
      </x:c>
      <x:c r="C41" s="25" t="str">
        <x:v>17 Financial scenarios</x:v>
      </x:c>
      <x:c r="D41" s="25" t="str">
        <x:v>Three 499 jobs in an active month -&gt; approximately 1,160 operating profit under Unit Economics assumptions. No-sales monthly operating loss about 105 before initial costs.</x:v>
      </x:c>
    </x:row>
    <x:row r="42" ht="110" customHeight="1">
      <x:c r="A42" s="25" t="str">
        <x:v>O02</x:v>
      </x:c>
      <x:c r="B42" s="25" t="str">
        <x:v>Supplier catalog cleanup</x:v>
      </x:c>
      <x:c r="C42" s="25" t="str">
        <x:v>18 Risks</x:v>
      </x:c>
      <x:c r="D42" s="25" t="str">
        <x:v>Incorrect variant mapping, overwritten products, image permissions, platform updates and existing low-cost tools.</x:v>
      </x:c>
    </x:row>
    <x:row r="43" ht="110" customHeight="1">
      <x:c r="A43" s="25" t="str">
        <x:v>O02</x:v>
      </x:c>
      <x:c r="B43" s="25" t="str">
        <x:v>Supplier catalog cleanup</x:v>
      </x:c>
      <x:c r="C43" s="25" t="str">
        <x:v>19 Kill / pivot gate</x:v>
      </x:c>
      <x:c r="D43" s="25" t="str">
        <x:v>Stop or reprice if small imports exceed four delivery hours repeatedly; do not scale until two sandbox imports reconcile and buyers accept scope.</x:v>
      </x:c>
    </x:row>
    <x:row r="44" ht="110" customHeight="1">
      <x:c r="A44" s="25" t="str">
        <x:v>O02</x:v>
      </x:c>
      <x:c r="B44" s="25" t="str">
        <x:v>Supplier catalog cleanup</x:v>
      </x:c>
      <x:c r="C44" s="25" t="str">
        <x:v>20 Fastest schedule</x:v>
      </x:c>
      <x:c r="D44" s="25" t="str">
        <x:v>Day 1: sample and offer. Days 2–3: targeted buyer conversations. Days 3–5: first paid file; no live store writes in the validation experiment.</x:v>
      </x:c>
    </x:row>
    <x:row r="45" ht="110" customHeight="1">
      <x:c r="A45" s="25" t="str">
        <x:v>O03</x:v>
      </x:c>
      <x:c r="B45" s="25" t="str">
        <x:v>Agency form-path monitoring</x:v>
      </x:c>
      <x:c r="C45" s="25" t="str">
        <x:v>1 Concept</x:v>
      </x:c>
      <x:c r="D45" s="25" t="str">
        <x:v>Agency-managed synthetic form-path monitoring subscription; alert delivery, not unlimited site repair.</x:v>
      </x:c>
    </x:row>
    <x:row r="46" ht="110" customHeight="1">
      <x:c r="A46" s="25" t="str">
        <x:v>O03</x:v>
      </x:c>
      <x:c r="B46" s="25" t="str">
        <x:v>Agency form-path monitoring</x:v>
      </x:c>
      <x:c r="C46" s="25" t="str">
        <x:v>2 Target market</x:v>
      </x:c>
      <x:c r="D46" s="25" t="str">
        <x:v>Small web agencies that maintain at least ten client sites and lack an accountable form-testing process.</x:v>
      </x:c>
    </x:row>
    <x:row r="47" ht="110" customHeight="1">
      <x:c r="A47" s="25" t="str">
        <x:v>O03</x:v>
      </x:c>
      <x:c r="B47" s="25" t="str">
        <x:v>Agency form-path monitoring</x:v>
      </x:c>
      <x:c r="C47" s="25" t="str">
        <x:v>3 Demand evidence</x:v>
      </x:c>
      <x:c r="D47" s="25" t="str">
        <x:v>Checkly sells synthetic monitoring; WordPress maintenance vendors sell recurring care. The demand to validate is for a managed narrow workflow, not basic uptime.</x:v>
      </x:c>
    </x:row>
    <x:row r="48" ht="110" customHeight="1">
      <x:c r="A48" s="25" t="str">
        <x:v>O03</x:v>
      </x:c>
      <x:c r="B48" s="25" t="str">
        <x:v>Agency form-path monitoring</x:v>
      </x:c>
      <x:c r="C48" s="25" t="str">
        <x:v>4 Competitive advantage</x:v>
      </x:c>
      <x:c r="D48" s="25" t="str">
        <x:v>Test the path the agency cares about, direct alerts to the correct owner, keep false alerts low and provide a per-client audit trail.</x:v>
      </x:c>
    </x:row>
    <x:row r="49" ht="110" customHeight="1">
      <x:c r="A49" s="25" t="str">
        <x:v>O03</x:v>
      </x:c>
      <x:c r="B49" s="25" t="str">
        <x:v>Agency form-path monitoring</x:v>
      </x:c>
      <x:c r="C49" s="25" t="str">
        <x:v>5 Exact product / scope</x:v>
      </x:c>
      <x:c r="D49" s="25" t="str">
        <x:v>Two or three agreed checks/site, initially every six hours for browser flows; safe test identifiers and inbox; no real payment charge or user message. Basic HTTP checks may run more often. Define excluded paths and coverage.</x:v>
      </x:c>
    </x:row>
    <x:row r="50" ht="110" customHeight="1">
      <x:c r="A50" s="25" t="str">
        <x:v>O03</x:v>
      </x:c>
      <x:c r="B50" s="25" t="str">
        <x:v>Agency form-path monitoring</x:v>
      </x:c>
      <x:c r="C50" s="25" t="str">
        <x:v>6 Pricing (CAD)</x:v>
      </x:c>
      <x:c r="D50" s="25" t="str">
        <x:v>149/site setup; 79/site/month. Price multiple-page, high-frequency or authenticated flows separately. No perpetual promise of unlimited browser checks.</x:v>
      </x:c>
    </x:row>
    <x:row r="51" ht="110" customHeight="1">
      <x:c r="A51" s="25" t="str">
        <x:v>O03</x:v>
      </x:c>
      <x:c r="B51" s="25" t="str">
        <x:v>Agency form-path monitoring</x:v>
      </x:c>
      <x:c r="C51" s="25" t="str">
        <x:v>7 Setup time</x:v>
      </x:c>
      <x:c r="D51" s="25" t="str">
        <x:v>3–7 days to a paid beta after written permission and a safe test path.</x:v>
      </x:c>
    </x:row>
    <x:row r="52" ht="110" customHeight="1">
      <x:c r="A52" s="25" t="str">
        <x:v>O03</x:v>
      </x:c>
      <x:c r="B52" s="25" t="str">
        <x:v>Agency form-path monitoring</x:v>
      </x:c>
      <x:c r="C52" s="25" t="str">
        <x:v>8 Development process</x:v>
      </x:c>
      <x:c r="D52" s="25" t="str">
        <x:v>Get approval for target sites and test accounts; define success; build a sandbox test; add explicit cleanup/idempotency; rerun failures to reduce noise; alert owner; record outcomes; reconcile provider usage.</x:v>
      </x:c>
    </x:row>
    <x:row r="53" ht="110" customHeight="1">
      <x:c r="A53" s="25" t="str">
        <x:v>O03</x:v>
      </x:c>
      <x:c r="B53" s="25" t="str">
        <x:v>Agency form-path monitoring</x:v>
      </x:c>
      <x:c r="C53" s="25" t="str">
        <x:v>9 Tools / accounts</x:v>
      </x:c>
      <x:c r="D53" s="25" t="str">
        <x:v>Managed synthetic monitoring such as Checkly or tested Playwright runner; job scheduler, secret storage, notification inbox, Stripe or authorized marketplace subscription.</x:v>
      </x:c>
    </x:row>
    <x:row r="54" ht="110" customHeight="1">
      <x:c r="A54" s="25" t="str">
        <x:v>O03</x:v>
      </x:c>
      <x:c r="B54" s="25" t="str">
        <x:v>Agency form-path monitoring</x:v>
      </x:c>
      <x:c r="C54" s="25" t="str">
        <x:v>10 Startup budget</x:v>
      </x:c>
      <x:c r="D54" s="25" t="str">
        <x:v>25–150 initial test budget; browser-run costs depend on cadence and must be measured. Cap use before enrolling clients.</x:v>
      </x:c>
    </x:row>
    <x:row r="55" ht="110" customHeight="1">
      <x:c r="A55" s="25" t="str">
        <x:v>O03</x:v>
      </x:c>
      <x:c r="B55" s="25" t="str">
        <x:v>Agency form-path monitoring</x:v>
      </x:c>
      <x:c r="C55" s="25" t="str">
        <x:v>11 Acquisition</x:v>
      </x:c>
      <x:c r="D55" s="25" t="str">
        <x:v>Sell to satisfied reporting/service clients or one agency pilot. A reseller reaching multiple client sites is more efficient than unrelated individual store owners.</x:v>
      </x:c>
    </x:row>
    <x:row r="56" ht="110" customHeight="1">
      <x:c r="A56" s="25" t="str">
        <x:v>O03</x:v>
      </x:c>
      <x:c r="B56" s="25" t="str">
        <x:v>Agency form-path monitoring</x:v>
      </x:c>
      <x:c r="C56" s="25" t="str">
        <x:v>12 First sale</x:v>
      </x:c>
      <x:c r="D56" s="25" t="str">
        <x:v>Offer one paid 30-day pilot with setup and objective coverage; share a failure/success demo on a site you control. Do not probe strangers' forms without permission.</x:v>
      </x:c>
    </x:row>
    <x:row r="57" ht="110" customHeight="1">
      <x:c r="A57" s="25" t="str">
        <x:v>O03</x:v>
      </x:c>
      <x:c r="B57" s="25" t="str">
        <x:v>Agency form-path monitoring</x:v>
      </x:c>
      <x:c r="C57" s="25" t="str">
        <x:v>13 Payments</x:v>
      </x:c>
      <x:c r="D57" s="25" t="str">
        <x:v>Clear recurring billing consent, cancellation and usage terms. Failed payment pauses nonessential checks after notices; no surprise usage overages.</x:v>
      </x:c>
    </x:row>
    <x:row r="58" ht="110" customHeight="1">
      <x:c r="A58" s="25" t="str">
        <x:v>O03</x:v>
      </x:c>
      <x:c r="B58" s="25" t="str">
        <x:v>Agency form-path monitoring</x:v>
      </x:c>
      <x:c r="C58" s="25" t="str">
        <x:v>14 Automated delivery</x:v>
      </x:c>
      <x:c r="D58" s="25" t="str">
        <x:v>Schedule -&gt; browser/HTTP test -&gt; tagged result -&gt; confirmation retry -&gt; owner alert -&gt; daily digest -&gt; monthly report -&gt; usage budget alert. Human approves test designs and security-sensitive changes.</x:v>
      </x:c>
    </x:row>
    <x:row r="59" ht="110" customHeight="1">
      <x:c r="A59" s="25" t="str">
        <x:v>O03</x:v>
      </x:c>
      <x:c r="B59" s="25" t="str">
        <x:v>Agency form-path monitoring</x:v>
      </x:c>
      <x:c r="C59" s="25" t="str">
        <x:v>15 Maintenance</x:v>
      </x:c>
      <x:c r="D59" s="25" t="str">
        <x:v>Target under 30 minutes/site/month for stable paths, plus shared system maintenance. Alerting can run continuously; human repair is not a 24/7 SLA.</x:v>
      </x:c>
    </x:row>
    <x:row r="60" ht="110" customHeight="1">
      <x:c r="A60" s="25" t="str">
        <x:v>O03</x:v>
      </x:c>
      <x:c r="B60" s="25" t="str">
        <x:v>Agency form-path monitoring</x:v>
      </x:c>
      <x:c r="C60" s="25" t="str">
        <x:v>16 Growth</x:v>
      </x:c>
      <x:c r="D60" s="25" t="str">
        <x:v>Add sites through agencies; standardize test templates; bundle but track per-site margin and correlated failures.</x:v>
      </x:c>
    </x:row>
    <x:row r="61" ht="110" customHeight="1">
      <x:c r="A61" s="25" t="str">
        <x:v>O03</x:v>
      </x:c>
      <x:c r="B61" s="25" t="str">
        <x:v>Agency form-path monitoring</x:v>
      </x:c>
      <x:c r="C61" s="25" t="str">
        <x:v>17 Financial scenarios</x:v>
      </x:c>
      <x:c r="D61" s="25" t="str">
        <x:v>Eight sites at 79/month -&gt; about 370 operating profit under the isolated illustration, excluding setup fees. 30 sites at these same costs -&gt; about 1,733 before owner pay/tax, if care remains bounded.</x:v>
      </x:c>
    </x:row>
    <x:row r="62" ht="110" customHeight="1">
      <x:c r="A62" s="25" t="str">
        <x:v>O03</x:v>
      </x:c>
      <x:c r="B62" s="25" t="str">
        <x:v>Agency form-path monitoring</x:v>
      </x:c>
      <x:c r="C62" s="25" t="str">
        <x:v>18 Risks</x:v>
      </x:c>
      <x:c r="D62" s="25" t="str">
        <x:v>False positives, browser changes, missed failures, notification abuse, costly high frequency and implied repair obligations.</x:v>
      </x:c>
    </x:row>
    <x:row r="63" ht="110" customHeight="1">
      <x:c r="A63" s="25" t="str">
        <x:v>O03</x:v>
      </x:c>
      <x:c r="B63" s="25" t="str">
        <x:v>Agency form-path monitoring</x:v>
      </x:c>
      <x:c r="C63" s="25" t="str">
        <x:v>19 Kill / pivot gate</x:v>
      </x:c>
      <x:c r="D63" s="25" t="str">
        <x:v>Require three paying sites and &lt;5% unactionable alerts; reprice if &gt;30 minutes/site/month. Stop adding sites when monitoring cost exceeds budget or incidents cannot be handled safely.</x:v>
      </x:c>
    </x:row>
    <x:row r="64" ht="110" customHeight="1">
      <x:c r="A64" s="25" t="str">
        <x:v>O03</x:v>
      </x:c>
      <x:c r="B64" s="25" t="str">
        <x:v>Agency form-path monitoring</x:v>
      </x:c>
      <x:c r="C64" s="25" t="str">
        <x:v>20 Fastest schedule</x:v>
      </x:c>
      <x:c r="D64" s="25" t="str">
        <x:v>Day 1: permission and scoped pilot. Days 2–4: controlled test and alert demo. Days 5–7: begin paid beta. Do not build a custom monitoring platform first.</x:v>
      </x:c>
    </x:row>
    <x:row r="65" ht="110" customHeight="1">
      <x:c r="A65" s="25" t="str">
        <x:v>O04</x:v>
      </x:c>
      <x:c r="B65" s="25" t="str">
        <x:v>Purchase-order PDF to validated CSV</x:v>
      </x:c>
      <x:c r="C65" s="25" t="str">
        <x:v>1 Concept</x:v>
      </x:c>
      <x:c r="D65" s="25" t="str">
        <x:v>Recurring purchase-order/packing-list extraction to a validated CSV review queue.</x:v>
      </x:c>
    </x:row>
    <x:row r="66" ht="110" customHeight="1">
      <x:c r="A66" s="25" t="str">
        <x:v>O04</x:v>
      </x:c>
      <x:c r="B66" s="25" t="str">
        <x:v>Purchase-order PDF to validated CSV</x:v>
      </x:c>
      <x:c r="C66" s="25" t="str">
        <x:v>2 Target market</x:v>
      </x:c>
      <x:c r="D66" s="25" t="str">
        <x:v>Small distributors and operations offices receiving similar recurring business documents; avoid health records and highly sensitive documents initially.</x:v>
      </x:c>
    </x:row>
    <x:row r="67" ht="110" customHeight="1">
      <x:c r="A67" s="25" t="str">
        <x:v>O04</x:v>
      </x:c>
      <x:c r="B67" s="25" t="str">
        <x:v>Purchase-order PDF to validated CSV</x:v>
      </x:c>
      <x:c r="C67" s="25" t="str">
        <x:v>3 Demand evidence</x:v>
      </x:c>
      <x:c r="D67" s="25" t="str">
        <x:v>Parseur publishes paid document-extraction plans. This proves category spending, not accuracy for the buyer's files or their willingness to pay you.</x:v>
      </x:c>
    </x:row>
    <x:row r="68" ht="110" customHeight="1">
      <x:c r="A68" s="25" t="str">
        <x:v>O04</x:v>
      </x:c>
      <x:c r="B68" s="25" t="str">
        <x:v>Purchase-order PDF to validated CSV</x:v>
      </x:c>
      <x:c r="C68" s="25" t="str">
        <x:v>4 Competitive advantage</x:v>
      </x:c>
      <x:c r="D68" s="25" t="str">
        <x:v>Solve one recurring document family with arithmetic and schema checks, preserve provenance and send uncertain values for human review.</x:v>
      </x:c>
    </x:row>
    <x:row r="69" ht="110" customHeight="1">
      <x:c r="A69" s="25" t="str">
        <x:v>O04</x:v>
      </x:c>
      <x:c r="B69" s="25" t="str">
        <x:v>Purchase-order PDF to validated CSV</x:v>
      </x:c>
      <x:c r="C69" s="25" t="str">
        <x:v>5 Exact product / scope</x:v>
      </x:c>
      <x:c r="D69" s="25" t="str">
        <x:v>One agreed document layout family, &lt;=100 pages/month for starter recurring plan, agreed fields and output schema. No accounting entries, autonomous payments or unsupported handwriting claims.</x:v>
      </x:c>
    </x:row>
    <x:row r="70" ht="110" customHeight="1">
      <x:c r="A70" s="25" t="str">
        <x:v>O04</x:v>
      </x:c>
      <x:c r="B70" s="25" t="str">
        <x:v>Purchase-order PDF to validated CSV</x:v>
      </x:c>
      <x:c r="C70" s="25" t="str">
        <x:v>6 Pricing (CAD)</x:v>
      </x:c>
      <x:c r="D70" s="25" t="str">
        <x:v>399 paid discovery/pilot for up to 20 representative pages; 699 production setup; optional 199/month up to 100 simple pages, subject to measured provider cost and exception rate.</x:v>
      </x:c>
    </x:row>
    <x:row r="71" ht="110" customHeight="1">
      <x:c r="A71" s="25" t="str">
        <x:v>O04</x:v>
      </x:c>
      <x:c r="B71" s="25" t="str">
        <x:v>Purchase-order PDF to validated CSV</x:v>
      </x:c>
      <x:c r="C71" s="25" t="str">
        <x:v>7 Setup time</x:v>
      </x:c>
      <x:c r="D71" s="25" t="str">
        <x:v>2–5 days for representative clean documents; poor scans and many layouts must be separately scoped.</x:v>
      </x:c>
    </x:row>
    <x:row r="72" ht="110" customHeight="1">
      <x:c r="A72" s="25" t="str">
        <x:v>O04</x:v>
      </x:c>
      <x:c r="B72" s="25" t="str">
        <x:v>Purchase-order PDF to validated CSV</x:v>
      </x:c>
      <x:c r="C72" s="25" t="str">
        <x:v>8 Development process</x:v>
      </x:c>
      <x:c r="D72" s="25" t="str">
        <x:v>Get client permission; assemble representative evaluation set; try embedded PDF text first; use licensed extraction/OCR only when needed; validate required fields, quantities and totals; create exception queue; compare to human-labelled truth; deliver CSV with page/source references.</x:v>
      </x:c>
    </x:row>
    <x:row r="73" ht="110" customHeight="1">
      <x:c r="A73" s="25" t="str">
        <x:v>O04</x:v>
      </x:c>
      <x:c r="B73" s="25" t="str">
        <x:v>Purchase-order PDF to validated CSV</x:v>
      </x:c>
      <x:c r="C73" s="25" t="str">
        <x:v>9 Tools / accounts</x:v>
      </x:c>
      <x:c r="D73" s="25" t="str">
        <x:v>Text/PDF parser or client-approved Parseur/API account; private storage; deterministic validation; human review. An LLM alone is not the source of numerical truth.</x:v>
      </x:c>
    </x:row>
    <x:row r="74" ht="110" customHeight="1">
      <x:c r="A74" s="25" t="str">
        <x:v>O04</x:v>
      </x:c>
      <x:c r="B74" s="25" t="str">
        <x:v>Purchase-order PDF to validated CSV</x:v>
      </x:c>
      <x:c r="C74" s="25" t="str">
        <x:v>10 Startup budget</x:v>
      </x:c>
      <x:c r="D74" s="25" t="str">
        <x:v>0–150 experiment; use free quota or client-paid provider where appropriate. Higher provider subscriptions are not silently absorbed at 199/month.</x:v>
      </x:c>
    </x:row>
    <x:row r="75" ht="110" customHeight="1">
      <x:c r="A75" s="25" t="str">
        <x:v>O04</x:v>
      </x:c>
      <x:c r="B75" s="25" t="str">
        <x:v>Purchase-order PDF to validated CSV</x:v>
      </x:c>
      <x:c r="C75" s="25" t="str">
        <x:v>11 Acquisition</x:v>
      </x:c>
      <x:c r="D75" s="25" t="str">
        <x:v>Respond to explicit document-to-sheet requests; partner with operators or bookkeepers who will retain responsibility for any accounting.</x:v>
      </x:c>
    </x:row>
    <x:row r="76" ht="110" customHeight="1">
      <x:c r="A76" s="25" t="str">
        <x:v>O04</x:v>
      </x:c>
      <x:c r="B76" s="25" t="str">
        <x:v>Purchase-order PDF to validated CSV</x:v>
      </x:c>
      <x:c r="C76" s="25" t="str">
        <x:v>12 First sale</x:v>
      </x:c>
      <x:c r="D76" s="25" t="str">
        <x:v>Charge for a narrowly defined pilot with a clear manual-review handoff; use anonymized samples to demonstrate where extraction succeeds and fails.</x:v>
      </x:c>
    </x:row>
    <x:row r="77" ht="110" customHeight="1">
      <x:c r="A77" s="25" t="str">
        <x:v>O04</x:v>
      </x:c>
      <x:c r="B77" s="25" t="str">
        <x:v>Purchase-order PDF to validated CSV</x:v>
      </x:c>
      <x:c r="C77" s="25" t="str">
        <x:v>13 Payments</x:v>
      </x:c>
      <x:c r="D77" s="25" t="str">
        <x:v>Milestone payment for setup; volume-capped subscription only after evaluation. Refund/rework terms do not guarantee every possible layout.</x:v>
      </x:c>
    </x:row>
    <x:row r="78" ht="110" customHeight="1">
      <x:c r="A78" s="25" t="str">
        <x:v>O04</x:v>
      </x:c>
      <x:c r="B78" s="25" t="str">
        <x:v>Purchase-order PDF to validated CSV</x:v>
      </x:c>
      <x:c r="C78" s="25" t="str">
        <x:v>14 Automated delivery</x:v>
      </x:c>
      <x:c r="D78" s="25" t="str">
        <x:v>Authorized inbox/upload -&gt; malware/type/size check -&gt; extraction -&gt; validation -&gt; confidence/exception route -&gt; approved CSV delivery -&gt; deletion policy. Nothing posts to a ledger automatically.</x:v>
      </x:c>
    </x:row>
    <x:row r="79" ht="110" customHeight="1">
      <x:c r="A79" s="25" t="str">
        <x:v>O04</x:v>
      </x:c>
      <x:c r="B79" s="25" t="str">
        <x:v>Purchase-order PDF to validated CSV</x:v>
      </x:c>
      <x:c r="C79" s="25" t="str">
        <x:v>15 Maintenance</x:v>
      </x:c>
      <x:c r="D79" s="25" t="str">
        <x:v>Review outliers; monthly test-set regression; stop automation on layout drift. Target light handling only if exceptions are genuinely rare.</x:v>
      </x:c>
    </x:row>
    <x:row r="80" ht="110" customHeight="1">
      <x:c r="A80" s="25" t="str">
        <x:v>O04</x:v>
      </x:c>
      <x:c r="B80" s="25" t="str">
        <x:v>Purchase-order PDF to validated CSV</x:v>
      </x:c>
      <x:c r="C80" s="25" t="str">
        <x:v>16 Growth</x:v>
      </x:c>
      <x:c r="D80" s="25" t="str">
        <x:v>Reuse document-family adapters; partner licensing; consider a subscription interface only after repeated paid demand.</x:v>
      </x:c>
    </x:row>
    <x:row r="81" ht="110" customHeight="1">
      <x:c r="A81" s="25" t="str">
        <x:v>O04</x:v>
      </x:c>
      <x:c r="B81" s="25" t="str">
        <x:v>Purchase-order PDF to validated CSV</x:v>
      </x:c>
      <x:c r="C81" s="25" t="str">
        <x:v>17 Financial scenarios</x:v>
      </x:c>
      <x:c r="D81" s="25" t="str">
        <x:v>Two 699 setups -&gt; about 1,031 active-month operating profit under isolated assumptions. At 199/month, a vendor charging USD49 per 100 pages can materially reduce margin: measure true CAD spend before promising the plan.</x:v>
      </x:c>
    </x:row>
    <x:row r="82" ht="110" customHeight="1">
      <x:c r="A82" s="25" t="str">
        <x:v>O04</x:v>
      </x:c>
      <x:c r="B82" s="25" t="str">
        <x:v>Purchase-order PDF to validated CSV</x:v>
      </x:c>
      <x:c r="C82" s="25" t="str">
        <x:v>18 Risks</x:v>
      </x:c>
      <x:c r="D82" s="25" t="str">
        <x:v>Incorrect numbers, vendor data retention, confidentiality, scans that require costly OCR, support burden.</x:v>
      </x:c>
    </x:row>
    <x:row r="83" ht="110" customHeight="1">
      <x:c r="A83" s="25" t="str">
        <x:v>O04</x:v>
      </x:c>
      <x:c r="B83" s="25" t="str">
        <x:v>Purchase-order PDF to validated CSV</x:v>
      </x:c>
      <x:c r="C83" s="25" t="str">
        <x:v>19 Kill / pivot gate</x:v>
      </x:c>
      <x:c r="D83" s="25" t="str">
        <x:v>Do not auto-release results without acceptance-tested checks. Reprice/pivot if &gt;10% of documents require lengthy manual corrections or provider costs break unit margins.</x:v>
      </x:c>
    </x:row>
    <x:row r="84" ht="110" customHeight="1">
      <x:c r="A84" s="25" t="str">
        <x:v>O04</x:v>
      </x:c>
      <x:c r="B84" s="25" t="str">
        <x:v>Purchase-order PDF to validated CSV</x:v>
      </x:c>
      <x:c r="C84" s="25" t="str">
        <x:v>20 Fastest schedule</x:v>
      </x:c>
      <x:c r="D84" s="25" t="str">
        <x:v>Days 1–2: sample and paid pilot agreement. Days 3–5: labelled test and accepted CSV. Recurring automation only after objective quality sign-off.</x:v>
      </x:c>
    </x:row>
    <x:row r="85" ht="110" customHeight="1">
      <x:c r="A85" s="25" t="str">
        <x:v>O05</x:v>
      </x:c>
      <x:c r="B85" s="25" t="str">
        <x:v>Licensed report-automation toolkit</x:v>
      </x:c>
      <x:c r="C85" s="25" t="str">
        <x:v>1 Concept</x:v>
      </x:c>
      <x:c r="D85" s="25" t="str">
        <x:v>Original self-serve toolkit distilled from proven report-automation services; not a second unrelated startup.</x:v>
      </x:c>
    </x:row>
    <x:row r="86" ht="110" customHeight="1">
      <x:c r="A86" s="25" t="str">
        <x:v>O05</x:v>
      </x:c>
      <x:c r="B86" s="25" t="str">
        <x:v>Licensed report-automation toolkit</x:v>
      </x:c>
      <x:c r="C86" s="25" t="str">
        <x:v>2 Target market</x:v>
      </x:c>
      <x:c r="D86" s="25" t="str">
        <x:v>Freelancers and small agencies with the same report format but insufficient budget for done-for-you setup.</x:v>
      </x:c>
    </x:row>
    <x:row r="87" ht="110" customHeight="1">
      <x:c r="A87" s="25" t="str">
        <x:v>O05</x:v>
      </x:c>
      <x:c r="B87" s="25" t="str">
        <x:v>Licensed report-automation toolkit</x:v>
      </x:c>
      <x:c r="C87" s="25" t="str">
        <x:v>3 Demand evidence</x:v>
      </x:c>
      <x:c r="D87" s="25" t="str">
        <x:v>Paid reporting software and digital storefronts exist. The exact toolkit has no verified demand; validate through service conversations and paid licenses before expanding.</x:v>
      </x:c>
    </x:row>
    <x:row r="88" ht="110" customHeight="1">
      <x:c r="A88" s="25" t="str">
        <x:v>O05</x:v>
      </x:c>
      <x:c r="B88" s="25" t="str">
        <x:v>Licensed report-automation toolkit</x:v>
      </x:c>
      <x:c r="C88" s="25" t="str">
        <x:v>4 Competitive advantage</x:v>
      </x:c>
      <x:c r="D88" s="25" t="str">
        <x:v>Documented original code, real tested fixtures, supportable mappings and a transparent demo; not a generic prompt bundle or copied open-source product.</x:v>
      </x:c>
    </x:row>
    <x:row r="89" ht="110" customHeight="1">
      <x:c r="A89" s="25" t="str">
        <x:v>O05</x:v>
      </x:c>
      <x:c r="B89" s="25" t="str">
        <x:v>Licensed report-automation toolkit</x:v>
      </x:c>
      <x:c r="C89" s="25" t="str">
        <x:v>5 Exact product / scope</x:v>
      </x:c>
      <x:c r="D89" s="25" t="str">
        <x:v>Three original adapters/templates, source code, fixture inputs, expected outputs, install guide, license and supported-version policy. Remove all client identifiers and confidential logic.</x:v>
      </x:c>
    </x:row>
    <x:row r="90" ht="110" customHeight="1">
      <x:c r="A90" s="25" t="str">
        <x:v>O05</x:v>
      </x:c>
      <x:c r="B90" s="25" t="str">
        <x:v>Licensed report-automation toolkit</x:v>
      </x:c>
      <x:c r="C90" s="25" t="str">
        <x:v>6 Pricing (CAD)</x:v>
      </x:c>
      <x:c r="D90" s="25" t="str">
        <x:v>49 single-user license; 149 team license with explicit seat/project terms. One year of fixes can be offered only if budgeted; no perpetual compatibility or recurring charge without recurring value.</x:v>
      </x:c>
    </x:row>
    <x:row r="91" ht="110" customHeight="1">
      <x:c r="A91" s="25" t="str">
        <x:v>O05</x:v>
      </x:c>
      <x:c r="B91" s="25" t="str">
        <x:v>Licensed report-automation toolkit</x:v>
      </x:c>
      <x:c r="C91" s="25" t="str">
        <x:v>7 Setup time</x:v>
      </x:c>
      <x:c r="D91" s="25" t="str">
        <x:v>2–5 days after at least three service deliveries reveal a common reusable pattern; do not spend this time before service validation.</x:v>
      </x:c>
    </x:row>
    <x:row r="92" ht="110" customHeight="1">
      <x:c r="A92" s="25" t="str">
        <x:v>O05</x:v>
      </x:c>
      <x:c r="B92" s="25" t="str">
        <x:v>Licensed report-automation toolkit</x:v>
      </x:c>
      <x:c r="C92" s="25" t="str">
        <x:v>8 Development process</x:v>
      </x:c>
      <x:c r="D92" s="25" t="str">
        <x:v>Extract only owned reusable code; audit dependency licenses; create clean fixtures; add tests; write license/readme and limitations; package reproducibly; publish honest demo and installation guide.</x:v>
      </x:c>
    </x:row>
    <x:row r="93" ht="110" customHeight="1">
      <x:c r="A93" s="25" t="str">
        <x:v>O05</x:v>
      </x:c>
      <x:c r="B93" s="25" t="str">
        <x:v>Licensed report-automation toolkit</x:v>
      </x:c>
      <x:c r="C93" s="25" t="str">
        <x:v>9 Tools / accounts</x:v>
      </x:c>
      <x:c r="D93" s="25" t="str">
        <x:v>Local Git/tests, static sales page, eligible digital storefront such as Gumroad/itch or approved Lemon Squeezy product, support inbox.</x:v>
      </x:c>
    </x:row>
    <x:row r="94" ht="110" customHeight="1">
      <x:c r="A94" s="25" t="str">
        <x:v>O05</x:v>
      </x:c>
      <x:c r="B94" s="25" t="str">
        <x:v>Licensed report-automation toolkit</x:v>
      </x:c>
      <x:c r="C94" s="25" t="str">
        <x:v>10 Startup budget</x:v>
      </x:c>
      <x:c r="D94" s="25" t="str">
        <x:v>0–100 launch test with existing equipment; no paid ads initially. Marketplace/payment fees remain variable costs.</x:v>
      </x:c>
    </x:row>
    <x:row r="95" ht="110" customHeight="1">
      <x:c r="A95" s="25" t="str">
        <x:v>O05</x:v>
      </x:c>
      <x:c r="B95" s="25" t="str">
        <x:v>Licensed report-automation toolkit</x:v>
      </x:c>
      <x:c r="C95" s="25" t="str">
        <x:v>11 Acquisition</x:v>
      </x:c>
      <x:c r="D95" s="25" t="str">
        <x:v>Offer to qualified non-buying service leads, get agency partner referrals and post a useful permitted technical demo. Marketplace upload alone is not acquisition.</x:v>
      </x:c>
    </x:row>
    <x:row r="96" ht="110" customHeight="1">
      <x:c r="A96" s="25" t="str">
        <x:v>O05</x:v>
      </x:c>
      <x:c r="B96" s="25" t="str">
        <x:v>Licensed report-automation toolkit</x:v>
      </x:c>
      <x:c r="C96" s="25" t="str">
        <x:v>12 First sale</x:v>
      </x:c>
      <x:c r="D96" s="25" t="str">
        <x:v>Ask a prospect who declined custom setup whether the tested self-serve version solves their problem; sell a license, not a promise of future broad support.</x:v>
      </x:c>
    </x:row>
    <x:row r="97" ht="110" customHeight="1">
      <x:c r="A97" s="25" t="str">
        <x:v>O05</x:v>
      </x:c>
      <x:c r="B97" s="25" t="str">
        <x:v>Licensed report-automation toolkit</x:v>
      </x:c>
      <x:c r="C97" s="25" t="str">
        <x:v>13 Payments</x:v>
      </x:c>
      <x:c r="D97" s="25" t="str">
        <x:v>Eligible storefront with receipts/digital fulfillment. Verify taxes, payout eligibility, refund and merchant-of-record treatment; service sales use an appropriate payment channel.</x:v>
      </x:c>
    </x:row>
    <x:row r="98" ht="110" customHeight="1">
      <x:c r="A98" s="25" t="str">
        <x:v>O05</x:v>
      </x:c>
      <x:c r="B98" s="25" t="str">
        <x:v>Licensed report-automation toolkit</x:v>
      </x:c>
      <x:c r="C98" s="25" t="str">
        <x:v>14 Automated delivery</x:v>
      </x:c>
      <x:c r="D98" s="25" t="str">
        <x:v>Paid receipt -&gt; license record -&gt; versioned ZIP -&gt; installation email -&gt; issue intake -&gt; FAQ lookup -&gt; human review of bugs. Automatic updates only after tests.</x:v>
      </x:c>
    </x:row>
    <x:row r="99" ht="110" customHeight="1">
      <x:c r="A99" s="25" t="str">
        <x:v>O05</x:v>
      </x:c>
      <x:c r="B99" s="25" t="str">
        <x:v>Licensed report-automation toolkit</x:v>
      </x:c>
      <x:c r="C99" s="25" t="str">
        <x:v>15 Maintenance</x:v>
      </x:c>
      <x:c r="D99" s="25" t="str">
        <x:v>Target &lt;=15 minutes support per sale; weekly triage; periodic version check. Compatibility support must be capped.</x:v>
      </x:c>
    </x:row>
    <x:row r="100" ht="110" customHeight="1">
      <x:c r="A100" s="25" t="str">
        <x:v>O05</x:v>
      </x:c>
      <x:c r="B100" s="25" t="str">
        <x:v>Licensed report-automation toolkit</x:v>
      </x:c>
      <x:c r="C100" s="25" t="str">
        <x:v>16 Growth</x:v>
      </x:c>
      <x:c r="D100" s="25" t="str">
        <x:v>Team licenses, agency resale/white-label rights by separate agreement, new adapter only after repeated paid requests. Share acquisition and backend with O01.</x:v>
      </x:c>
    </x:row>
    <x:row r="101" ht="110" customHeight="1">
      <x:c r="A101" s="25" t="str">
        <x:v>O05</x:v>
      </x:c>
      <x:c r="B101" s="25" t="str">
        <x:v>Licensed report-automation toolkit</x:v>
      </x:c>
      <x:c r="C101" s="25" t="str">
        <x:v>17 Financial scenarios</x:v>
      </x:c>
      <x:c r="D101" s="25" t="str">
        <x:v>Ten 49 licenses/month -&gt; about 329 operating profit under isolated assumptions; 100 licenses in the upside model -&gt; about 2,973 after extra overhead. Zero-sales monthly operating loss about 55.</x:v>
      </x:c>
    </x:row>
    <x:row r="102" ht="110" customHeight="1">
      <x:c r="A102" s="25" t="str">
        <x:v>O05</x:v>
      </x:c>
      <x:c r="B102" s="25" t="str">
        <x:v>Licensed report-automation toolkit</x:v>
      </x:c>
      <x:c r="C102" s="25" t="str">
        <x:v>18 Risks</x:v>
      </x:c>
      <x:c r="D102" s="25" t="str">
        <x:v>Free alternatives, no audience, copied/copyrighted inputs, clients claiming ownership, low-ticket support and account approval.</x:v>
      </x:c>
    </x:row>
    <x:row r="103" ht="110" customHeight="1">
      <x:c r="A103" s="25" t="str">
        <x:v>O05</x:v>
      </x:c>
      <x:c r="B103" s="25" t="str">
        <x:v>Licensed report-automation toolkit</x:v>
      </x:c>
      <x:c r="C103" s="25" t="str">
        <x:v>19 Kill / pivot gate</x:v>
      </x:c>
      <x:c r="D103" s="25" t="str">
        <x:v>Three paid licenses before more features; &lt;2 sales after 200 qualified visitors -&gt; improve positioning once or stop. Do not build a 100-template catalogue without buyers.</x:v>
      </x:c>
    </x:row>
    <x:row r="104" ht="110" customHeight="1">
      <x:c r="A104" s="25" t="str">
        <x:v>O05</x:v>
      </x:c>
      <x:c r="B104" s="25" t="str">
        <x:v>Licensed report-automation toolkit</x:v>
      </x:c>
      <x:c r="C104" s="25" t="str">
        <x:v>20 Fastest schedule</x:v>
      </x:c>
      <x:c r="D104" s="25" t="str">
        <x:v>After service proof: day 1 extract/test; day 2 documentation/demo; day 3 list and offer to qualified leads; days 4–5 fix real buyer friction.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742c1c7d14b462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40" hidden="0" customWidth="1"/>
    <x:col min="4" max="4" width="40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FIRST 30 DAYS — CASH FLOW BEFORE COMPLEXITY</x:v>
      </x:c>
      <x:c r="B1" s="3"/>
      <x:c r="C1" s="3"/>
      <x:c r="D1" s="3"/>
      <x:c r="E1" s="3"/>
      <x:c r="F1" s="3"/>
    </x:row>
    <x:row r="2" ht="32" customHeight="1">
      <x:c r="A2" s="7" t="str">
        <x:v>Day numbers are execution days from the actual start, not a promise of sales. Continue sales efforts alongside delivery; respect capacity.</x:v>
      </x:c>
      <x:c r="B2" s="7"/>
      <x:c r="C2" s="7"/>
      <x:c r="D2" s="7"/>
      <x:c r="E2" s="7"/>
      <x:c r="F2" s="7"/>
    </x:row>
    <x:row r="4" ht="48" customHeight="1">
      <x:c r="A4" s="28" t="str">
        <x:v>Day</x:v>
      </x:c>
      <x:c r="B4" s="28" t="str">
        <x:v>Focus</x:v>
      </x:c>
      <x:c r="C4" s="28" t="str">
        <x:v>Action</x:v>
      </x:c>
      <x:c r="D4" s="28" t="str">
        <x:v>Measurable gate</x:v>
      </x:c>
      <x:c r="E4" s="28" t="str">
        <x:v>Status</x:v>
      </x:c>
      <x:c r="F4" s="28" t="str">
        <x:v>Actual notes</x:v>
      </x:c>
    </x:row>
    <x:row r="5" ht="72" customHeight="1">
      <x:c r="A5" s="25" t="n">
        <x:v>1</x:v>
      </x:c>
      <x:c r="B5" s="25" t="str">
        <x:v>Package one offer</x:v>
      </x:c>
      <x:c r="C5" s="25" t="str">
        <x:v>Run synthetic CSV demo; choose one agency-report pain; edit pilot offer and objective acceptance checklist.</x:v>
      </x:c>
      <x:c r="D5" s="25" t="str">
        <x:v>A real demo and a 299 CAD offer, not a SaaS build.</x:v>
      </x:c>
      <x:c r="E5" s="25" t="str">
        <x:v>Not started</x:v>
      </x:c>
      <x:c r="F5" s="25" t="str"/>
    </x:row>
    <x:row r="6" ht="72" customHeight="1">
      <x:c r="A6" s="25" t="n">
        <x:v>2</x:v>
      </x:c>
      <x:c r="B6" s="25" t="str">
        <x:v>Find explicit buying intent</x:v>
      </x:c>
      <x:c r="C6" s="25" t="str">
        <x:v>Review 10 recent relevant requests; select five high-fit buyers; send tailored in-platform responses or permitted introductions.</x:v>
      </x:c>
      <x:c r="D6" s="25" t="str">
        <x:v>Five relevant responses; record budget, scope and communication basis.</x:v>
      </x:c>
      <x:c r="E6" s="25" t="str">
        <x:v>Not started</x:v>
      </x:c>
      <x:c r="F6" s="25" t="str"/>
    </x:row>
    <x:row r="7" ht="72" customHeight="1">
      <x:c r="A7" s="25" t="n">
        <x:v>3</x:v>
      </x:c>
      <x:c r="B7" s="25" t="str">
        <x:v>Seek paid commitment</x:v>
      </x:c>
      <x:c r="C7" s="25" t="str">
        <x:v>Hold up to two scoped discussions; ask for redacted samples; offer a funded milestone; agree safe data handling.</x:v>
      </x:c>
      <x:c r="D7" s="25" t="str">
        <x:v>Target one paid pilot; zero sales is a signal to diagnose, not fabricate.</x:v>
      </x:c>
      <x:c r="E7" s="25" t="str">
        <x:v>Not started</x:v>
      </x:c>
      <x:c r="F7" s="25" t="str"/>
    </x:row>
    <x:row r="8" ht="72" customHeight="1">
      <x:c r="A8" s="25" t="n">
        <x:v>4</x:v>
      </x:c>
      <x:c r="B8" s="25" t="str">
        <x:v>Deliver or refine</x:v>
      </x:c>
      <x:c r="C8" s="25" t="str">
        <x:v>For a buyer: build test fixtures and adapter. Without a buyer: five further high-fit conversations, no new features.</x:v>
      </x:c>
      <x:c r="D8" s="25" t="str">
        <x:v>First approved sample OR named objection categories.</x:v>
      </x:c>
      <x:c r="E8" s="25" t="str">
        <x:v>Not started</x:v>
      </x:c>
      <x:c r="F8" s="25" t="str"/>
    </x:row>
    <x:row r="9" ht="72" customHeight="1">
      <x:c r="A9" s="25" t="n">
        <x:v>5</x:v>
      </x:c>
      <x:c r="B9" s="25" t="str">
        <x:v>Reconcile and hand off</x:v>
      </x:c>
      <x:c r="C9" s="25" t="str">
        <x:v>Test totals, row counts and error handling; deliver with clear limitations and run instructions.</x:v>
      </x:c>
      <x:c r="D9" s="25" t="str">
        <x:v>Written acceptance; no production changes without approval.</x:v>
      </x:c>
      <x:c r="E9" s="25" t="str">
        <x:v>Not started</x:v>
      </x:c>
      <x:c r="F9" s="25" t="str"/>
    </x:row>
    <x:row r="10" ht="72" customHeight="1">
      <x:c r="A10" s="25" t="n">
        <x:v>6</x:v>
      </x:c>
      <x:c r="B10" s="25" t="str">
        <x:v>Offer bounded care</x:v>
      </x:c>
      <x:c r="C10" s="25" t="str">
        <x:v>Ask accepted buyer about repeat runs; quote 149/month only for a genuinely recurring need.</x:v>
      </x:c>
      <x:c r="D10" s="25" t="str">
        <x:v>Documented care scope, capped volume, opt-in recurring billing.</x:v>
      </x:c>
      <x:c r="E10" s="25" t="str">
        <x:v>Not started</x:v>
      </x:c>
      <x:c r="F10" s="25" t="str"/>
    </x:row>
    <x:row r="11" ht="72" customHeight="1">
      <x:c r="A11" s="25" t="n">
        <x:v>7</x:v>
      </x:c>
      <x:c r="B11" s="25" t="str">
        <x:v>Review evidence</x:v>
      </x:c>
      <x:c r="C11" s="25" t="str">
        <x:v>Total proposals, substantive conversations, paid work, delivery hours and objections.</x:v>
      </x:c>
      <x:c r="D11" s="25" t="str">
        <x:v>Decision: continue same offer, narrow it, or change the buyer problem.</x:v>
      </x:c>
      <x:c r="E11" s="25" t="str">
        <x:v>Not started</x:v>
      </x:c>
      <x:c r="F11" s="25" t="str"/>
    </x:row>
    <x:row r="12" ht="72" customHeight="1">
      <x:c r="A12" s="25" t="n">
        <x:v>8</x:v>
      </x:c>
      <x:c r="B12" s="25" t="str">
        <x:v>Standardize the winner</x:v>
      </x:c>
      <x:c r="C12" s="25" t="str">
        <x:v>Keep reusable non-client-specific adapter; document intake and acceptance tests.</x:v>
      </x:c>
      <x:c r="D12" s="25" t="str">
        <x:v>One repeatable checklist; no private client data in toolkit.</x:v>
      </x:c>
      <x:c r="E12" s="25" t="str">
        <x:v>Not started</x:v>
      </x:c>
      <x:c r="F12" s="25" t="str"/>
    </x:row>
    <x:row r="13" ht="72" customHeight="1">
      <x:c r="A13" s="25" t="n">
        <x:v>9</x:v>
      </x:c>
      <x:c r="B13" s="25" t="str">
        <x:v>Sell the second engagement</x:v>
      </x:c>
      <x:c r="C13" s="25" t="str">
        <x:v>Use permissioned proof, not invented testimonial; approach five relevant prospects.</x:v>
      </x:c>
      <x:c r="D13" s="25" t="str">
        <x:v>A second paid opportunity or clear pricing/scope feedback.</x:v>
      </x:c>
      <x:c r="E13" s="25" t="str">
        <x:v>Not started</x:v>
      </x:c>
      <x:c r="F13" s="25" t="str"/>
    </x:row>
    <x:row r="14" ht="72" customHeight="1">
      <x:c r="A14" s="25" t="n">
        <x:v>10</x:v>
      </x:c>
      <x:c r="B14" s="25" t="str">
        <x:v>Measure time saved</x:v>
      </x:c>
      <x:c r="C14" s="25" t="str">
        <x:v>Have buyer compare old and new process; record baseline and measured result.</x:v>
      </x:c>
      <x:c r="D14" s="25" t="str">
        <x:v>Evidence-backed benefit; no unsupported ROI promise.</x:v>
      </x:c>
      <x:c r="E14" s="25" t="str">
        <x:v>Not started</x:v>
      </x:c>
      <x:c r="F14" s="25" t="str"/>
    </x:row>
    <x:row r="15" ht="72" customHeight="1">
      <x:c r="A15" s="25" t="n">
        <x:v>11</x:v>
      </x:c>
      <x:c r="B15" s="25" t="str">
        <x:v>Automate intake</x:v>
      </x:c>
      <x:c r="C15" s="25" t="str">
        <x:v>Use one approved secure intake channel; standardized required fields and file caps.</x:v>
      </x:c>
      <x:c r="D15" s="25" t="str">
        <x:v>Fewer missing files/definitions; consent and deletion terms.</x:v>
      </x:c>
      <x:c r="E15" s="25" t="str">
        <x:v>Not started</x:v>
      </x:c>
      <x:c r="F15" s="25" t="str"/>
    </x:row>
    <x:row r="16" ht="72" customHeight="1">
      <x:c r="A16" s="25" t="n">
        <x:v>12</x:v>
      </x:c>
      <x:c r="B16" s="25" t="str">
        <x:v>Improve error handling</x:v>
      </x:c>
      <x:c r="C16" s="25" t="str">
        <x:v>Add known-schema checks, rejected-row report, failure notification and run IDs.</x:v>
      </x:c>
      <x:c r="D16" s="25" t="str">
        <x:v>Reproducible failure test; not silent data corruption.</x:v>
      </x:c>
      <x:c r="E16" s="25" t="str">
        <x:v>Not started</x:v>
      </x:c>
      <x:c r="F16" s="25" t="str"/>
    </x:row>
    <x:row r="17" ht="72" customHeight="1">
      <x:c r="A17" s="25" t="n">
        <x:v>13</x:v>
      </x:c>
      <x:c r="B17" s="25" t="str">
        <x:v>Clean up scope</x:v>
      </x:c>
      <x:c r="C17" s="25" t="str">
        <x:v>Review revision time; exclude unprofitable integrations; quote new work separately.</x:v>
      </x:c>
      <x:c r="D17" s="25" t="str">
        <x:v>Delivery trends toward &lt;=4–6 hours for standard jobs.</x:v>
      </x:c>
      <x:c r="E17" s="25" t="str">
        <x:v>Not started</x:v>
      </x:c>
      <x:c r="F17" s="25" t="str"/>
    </x:row>
    <x:row r="18" ht="72" customHeight="1">
      <x:c r="A18" s="25" t="n">
        <x:v>14</x:v>
      </x:c>
      <x:c r="B18" s="25" t="str">
        <x:v>Apply first gate</x:v>
      </x:c>
      <x:c r="C18" s="25" t="str">
        <x:v>Review up to three paid deliveries and whether repeat work exists.</x:v>
      </x:c>
      <x:c r="D18" s="25" t="str">
        <x:v>No payment after two iterations -&gt; stop/pivot; no second business yet.</x:v>
      </x:c>
      <x:c r="E18" s="25" t="str">
        <x:v>Not started</x:v>
      </x:c>
      <x:c r="F18" s="25" t="str"/>
    </x:row>
    <x:row r="19" ht="72" customHeight="1">
      <x:c r="A19" s="25" t="n">
        <x:v>15</x:v>
      </x:c>
      <x:c r="B19" s="25" t="str">
        <x:v>Extract the reusable product</x:v>
      </x:c>
      <x:c r="C19" s="25" t="str">
        <x:v>Only with proof, remove private data/code and prepare one self-serve toolkit.</x:v>
      </x:c>
      <x:c r="D19" s="25" t="str">
        <x:v>Minimum product solving an already-paid problem.</x:v>
      </x:c>
      <x:c r="E19" s="25" t="str">
        <x:v>Not started</x:v>
      </x:c>
      <x:c r="F19" s="25" t="str"/>
    </x:row>
    <x:row r="20" ht="72" customHeight="1">
      <x:c r="A20" s="25" t="n">
        <x:v>16</x:v>
      </x:c>
      <x:c r="B20" s="25" t="str">
        <x:v>Validate toolkit demand</x:v>
      </x:c>
      <x:c r="C20" s="25" t="str">
        <x:v>Offer it as a 49 CAD downsell to qualified service prospects.</x:v>
      </x:c>
      <x:c r="D20" s="25" t="str">
        <x:v>Target three paid licenses before expansion.</x:v>
      </x:c>
      <x:c r="E20" s="25" t="str">
        <x:v>Not started</x:v>
      </x:c>
      <x:c r="F20" s="25" t="str"/>
    </x:row>
    <x:row r="21" ht="72" customHeight="1">
      <x:c r="A21" s="25" t="n">
        <x:v>17</x:v>
      </x:c>
      <x:c r="B21" s="25" t="str">
        <x:v>Set up truthful fulfillment</x:v>
      </x:c>
      <x:c r="C21" s="25" t="str">
        <x:v>Versioned ZIP, license, supported versions, cancellation/refund/help details.</x:v>
      </x:c>
      <x:c r="D21" s="25" t="str">
        <x:v>No promises of nonexistent features; test a zero-cost internal fulfillment path.</x:v>
      </x:c>
      <x:c r="E21" s="25" t="str">
        <x:v>Not started</x:v>
      </x:c>
      <x:c r="F21" s="25" t="str"/>
    </x:row>
    <x:row r="22" ht="72" customHeight="1">
      <x:c r="A22" s="25" t="n">
        <x:v>18</x:v>
      </x:c>
      <x:c r="B22" s="25" t="str">
        <x:v>Add measured reporting care</x:v>
      </x:c>
      <x:c r="C22" s="25" t="str">
        <x:v>Run one client-approved scheduled workflow with a manual approval option.</x:v>
      </x:c>
      <x:c r="D22" s="25" t="str">
        <x:v>Verified delivery and error alert; rollback and rerun test.</x:v>
      </x:c>
      <x:c r="E22" s="25" t="str">
        <x:v>Not started</x:v>
      </x:c>
      <x:c r="F22" s="25" t="str"/>
    </x:row>
    <x:row r="23" ht="72" customHeight="1">
      <x:c r="A23" s="25" t="n">
        <x:v>19</x:v>
      </x:c>
      <x:c r="B23" s="25" t="str">
        <x:v>Test the second acquisition route</x:v>
      </x:c>
      <x:c r="C23" s="25" t="str">
        <x:v>Ask one designer/agency for a referral arrangement; disclose any fees.</x:v>
      </x:c>
      <x:c r="D23" s="25" t="str">
        <x:v>A real partner conversation, not an assumed distribution agreement.</x:v>
      </x:c>
      <x:c r="E23" s="25" t="str">
        <x:v>Not started</x:v>
      </x:c>
      <x:c r="F23" s="25" t="str"/>
    </x:row>
    <x:row r="24" ht="72" customHeight="1">
      <x:c r="A24" s="25" t="n">
        <x:v>20</x:v>
      </x:c>
      <x:c r="B24" s="25" t="str">
        <x:v>Reconcile bookkeeping</x:v>
      </x:c>
      <x:c r="C24" s="25" t="str">
        <x:v>Match processor transactions, fees, refunds and payouts; keep tax collected separate.</x:v>
      </x:c>
      <x:c r="D24" s="25" t="str">
        <x:v>Actual Dashboard contains only verified actual records.</x:v>
      </x:c>
      <x:c r="E24" s="25" t="str">
        <x:v>Not started</x:v>
      </x:c>
      <x:c r="F24" s="25" t="str"/>
    </x:row>
    <x:row r="25" ht="72" customHeight="1">
      <x:c r="A25" s="25" t="n">
        <x:v>21</x:v>
      </x:c>
      <x:c r="B25" s="25" t="str">
        <x:v>Review customer retention</x:v>
      </x:c>
      <x:c r="C25" s="25" t="str">
        <x:v>Check care usage, support burden, renewal intent and reasons to cancel.</x:v>
      </x:c>
      <x:c r="D25" s="25" t="str">
        <x:v>No fake retention metrics with tiny samples.</x:v>
      </x:c>
      <x:c r="E25" s="25" t="str">
        <x:v>Not started</x:v>
      </x:c>
      <x:c r="F25" s="25" t="str"/>
    </x:row>
    <x:row r="26" ht="72" customHeight="1">
      <x:c r="A26" s="25" t="n">
        <x:v>22</x:v>
      </x:c>
      <x:c r="B26" s="25" t="str">
        <x:v>Test monitoring need</x:v>
      </x:c>
      <x:c r="C26" s="25" t="str">
        <x:v>Ask existing agency contacts whether safe form-path testing solves an unmet problem.</x:v>
      </x:c>
      <x:c r="D26" s="25" t="str">
        <x:v>At least one paid/serious scoped pilot before building.</x:v>
      </x:c>
      <x:c r="E26" s="25" t="str">
        <x:v>Not started</x:v>
      </x:c>
      <x:c r="F26" s="25" t="str"/>
    </x:row>
    <x:row r="27" ht="72" customHeight="1">
      <x:c r="A27" s="25" t="n">
        <x:v>23</x:v>
      </x:c>
      <x:c r="B27" s="25" t="str">
        <x:v>Run a controlled monitor demo</x:v>
      </x:c>
      <x:c r="C27" s="25" t="str">
        <x:v>On a site you control, test normal/failing states and safe alert routing.</x:v>
      </x:c>
      <x:c r="D27" s="25" t="str">
        <x:v>Demonstrated coverage; no probing others without permission.</x:v>
      </x:c>
      <x:c r="E27" s="25" t="str">
        <x:v>Not started</x:v>
      </x:c>
      <x:c r="F27" s="25" t="str"/>
    </x:row>
    <x:row r="28" ht="72" customHeight="1">
      <x:c r="A28" s="25" t="n">
        <x:v>24</x:v>
      </x:c>
      <x:c r="B28" s="25" t="str">
        <x:v>Sell a bounded monitoring pilot</x:v>
      </x:c>
      <x:c r="C28" s="25" t="str">
        <x:v>Get site-owner authorization, test accounts/inbox and clear no-repair-SLA terms.</x:v>
      </x:c>
      <x:c r="D28" s="25" t="str">
        <x:v>Target one paid pilot; otherwise keep selling core offer.</x:v>
      </x:c>
      <x:c r="E28" s="25" t="str">
        <x:v>Not started</x:v>
      </x:c>
      <x:c r="F28" s="25" t="str"/>
    </x:row>
    <x:row r="29" ht="72" customHeight="1">
      <x:c r="A29" s="25" t="n">
        <x:v>25</x:v>
      </x:c>
      <x:c r="B29" s="25" t="str">
        <x:v>Deliver current obligations</x:v>
      </x:c>
      <x:c r="C29" s="25" t="str">
        <x:v>Fix accepted defects, verify deletion policy and maintain existing reports.</x:v>
      </x:c>
      <x:c r="D29" s="25" t="str">
        <x:v>No new launch while delivery backlog is overdue.</x:v>
      </x:c>
      <x:c r="E29" s="25" t="str">
        <x:v>Not started</x:v>
      </x:c>
      <x:c r="F29" s="25" t="str"/>
    </x:row>
    <x:row r="30" ht="72" customHeight="1">
      <x:c r="A30" s="25" t="n">
        <x:v>26</x:v>
      </x:c>
      <x:c r="B30" s="25" t="str">
        <x:v>Review pricing and contribution</x:v>
      </x:c>
      <x:c r="C30" s="25" t="str">
        <x:v>Calculate customer-level revenue less fees, tools, support and acquisition.</x:v>
      </x:c>
      <x:c r="D30" s="25" t="str">
        <x:v>Raise price/narrow scope if contribution or hourly economics fail.</x:v>
      </x:c>
      <x:c r="E30" s="25" t="str">
        <x:v>Not started</x:v>
      </x:c>
      <x:c r="F30" s="25" t="str"/>
    </x:row>
    <x:row r="31" ht="72" customHeight="1">
      <x:c r="A31" s="25" t="n">
        <x:v>27</x:v>
      </x:c>
      <x:c r="B31" s="25" t="str">
        <x:v>Document delegation</x:v>
      </x:c>
      <x:c r="C31" s="25" t="str">
        <x:v>Write one SOP and acceptance test; do not hire before a stable repeatable task.</x:v>
      </x:c>
      <x:c r="D31" s="25" t="str">
        <x:v>A task can be checked objectively before paying a contractor.</x:v>
      </x:c>
      <x:c r="E31" s="25" t="str">
        <x:v>Not started</x:v>
      </x:c>
      <x:c r="F31" s="25" t="str"/>
    </x:row>
    <x:row r="32" ht="72" customHeight="1">
      <x:c r="A32" s="25" t="n">
        <x:v>28</x:v>
      </x:c>
      <x:c r="B32" s="25" t="str">
        <x:v>Choose reinvestment</x:v>
      </x:c>
      <x:c r="C32" s="25" t="str">
        <x:v>Review channel conversion and contribution; do not buy ads without a proven funnel.</x:v>
      </x:c>
      <x:c r="D32" s="25" t="str">
        <x:v>Spend only a capped amount supported by observed demand.</x:v>
      </x:c>
      <x:c r="E32" s="25" t="str">
        <x:v>Not started</x:v>
      </x:c>
      <x:c r="F32" s="25" t="str"/>
    </x:row>
    <x:row r="33" ht="72" customHeight="1">
      <x:c r="A33" s="25" t="n">
        <x:v>29</x:v>
      </x:c>
      <x:c r="B33" s="25" t="str">
        <x:v>Back up and restore</x:v>
      </x:c>
      <x:c r="C33" s="25" t="str">
        <x:v>Test private backup restoration; rotate exposed credentials; review processor/webhook failures.</x:v>
      </x:c>
      <x:c r="D33" s="25" t="str">
        <x:v>An actual restoration and runbook, not just an enabled backup.</x:v>
      </x:c>
      <x:c r="E33" s="25" t="str">
        <x:v>Not started</x:v>
      </x:c>
      <x:c r="F33" s="25" t="str"/>
    </x:row>
    <x:row r="34" ht="72" customHeight="1">
      <x:c r="A34" s="25" t="n">
        <x:v>30</x:v>
      </x:c>
      <x:c r="B34" s="25" t="str">
        <x:v>Keep, scale or stop</x:v>
      </x:c>
      <x:c r="C34" s="25" t="str">
        <x:v>Review sales, retained care, net profit, owner hours and defects by offer.</x:v>
      </x:c>
      <x:c r="D34" s="25" t="str">
        <x:v>Scale only paid, tested demand; pause zero-demand offers and excess support.</x:v>
      </x:c>
      <x:c r="E34" s="25" t="str">
        <x:v>Not started</x:v>
      </x:c>
      <x:c r="F34" s="25" t="str"/>
    </x:row>
  </x:sheetData>
  <x:mergeCells>
    <x:mergeCell ref="A1:F1"/>
    <x:mergeCell ref="A2:F2"/>
  </x:mergeCells>
  <x:dataValidations count="1">
    <x:dataValidation type="list" sqref="E5:E34">
      <x:formula1>"Not started,In progress,Done,Blocked,Stopped"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87dd9d903c4385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</x:cols>
  <x:sheetData>
    <x:row r="1" ht="32" customHeight="1">
      <x:c r="A1" s="3" t="str">
        <x:v>ACTUAL TRANSACTION LEDGER — EMPTY BY DESIGN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Import only verified records. Amounts positive; classify refunds and costs separately. A bank payout is a transfer, not additional revenue.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Date (YYYY-MM-DD)</x:v>
      </x:c>
      <x:c r="B4" s="28" t="str">
        <x:v>Month (YYYY-MM)</x:v>
      </x:c>
      <x:c r="C4" s="28" t="str">
        <x:v>Business</x:v>
      </x:c>
      <x:c r="D4" s="28" t="str">
        <x:v>Type</x:v>
      </x:c>
      <x:c r="E4" s="28" t="str">
        <x:v>Amount ex sales tax CAD</x:v>
      </x:c>
      <x:c r="F4" s="28" t="str">
        <x:v>Tax CAD (not revenue)</x:v>
      </x:c>
      <x:c r="G4" s="28" t="str">
        <x:v>Bank settled CAD (informational)</x:v>
      </x:c>
      <x:c r="H4" s="28" t="str">
        <x:v>Unique event / invoice ID</x:v>
      </x:c>
      <x:c r="I4" s="28" t="str">
        <x:v>Source / notes</x:v>
      </x:c>
    </x:row>
    <x:row r="5" ht="42" customHeight="1">
      <x:c r="A5" s="25" t="str"/>
      <x:c r="B5" s="25" t="str"/>
      <x:c r="C5" s="25" t="str"/>
      <x:c r="D5" s="25" t="str"/>
      <x:c r="E5" s="33" t="str"/>
      <x:c r="F5" s="33" t="str"/>
      <x:c r="G5" s="33" t="str"/>
      <x:c r="H5" s="25" t="str"/>
      <x:c r="I5" s="25" t="str"/>
    </x:row>
    <x:row r="6" ht="42" customHeight="1">
      <x:c r="A6" s="25" t="str"/>
      <x:c r="B6" s="25" t="str"/>
      <x:c r="C6" s="25" t="str"/>
      <x:c r="D6" s="25" t="str"/>
      <x:c r="E6" s="33" t="str"/>
      <x:c r="F6" s="33" t="str"/>
      <x:c r="G6" s="33" t="str"/>
      <x:c r="H6" s="25" t="str"/>
      <x:c r="I6" s="25" t="str"/>
    </x:row>
    <x:row r="7" ht="42" customHeight="1">
      <x:c r="A7" s="25" t="str"/>
      <x:c r="B7" s="25" t="str"/>
      <x:c r="C7" s="25" t="str"/>
      <x:c r="D7" s="25" t="str"/>
      <x:c r="E7" s="33" t="str"/>
      <x:c r="F7" s="33" t="str"/>
      <x:c r="G7" s="33" t="str"/>
      <x:c r="H7" s="25" t="str"/>
      <x:c r="I7" s="25" t="str"/>
    </x:row>
    <x:row r="8" ht="42" customHeight="1">
      <x:c r="A8" s="25" t="str"/>
      <x:c r="B8" s="25" t="str"/>
      <x:c r="C8" s="25" t="str"/>
      <x:c r="D8" s="25" t="str"/>
      <x:c r="E8" s="33" t="str"/>
      <x:c r="F8" s="33" t="str"/>
      <x:c r="G8" s="33" t="str"/>
      <x:c r="H8" s="25" t="str"/>
      <x:c r="I8" s="25" t="str"/>
    </x:row>
    <x:row r="9" ht="42" customHeight="1">
      <x:c r="A9" s="25" t="str"/>
      <x:c r="B9" s="25" t="str"/>
      <x:c r="C9" s="25" t="str"/>
      <x:c r="D9" s="25" t="str"/>
      <x:c r="E9" s="33" t="str"/>
      <x:c r="F9" s="33" t="str"/>
      <x:c r="G9" s="33" t="str"/>
      <x:c r="H9" s="25" t="str"/>
      <x:c r="I9" s="25" t="str"/>
    </x:row>
    <x:row r="10" ht="42" customHeight="1">
      <x:c r="A10" s="25" t="str"/>
      <x:c r="B10" s="25" t="str"/>
      <x:c r="C10" s="25" t="str"/>
      <x:c r="D10" s="25" t="str"/>
      <x:c r="E10" s="33" t="str"/>
      <x:c r="F10" s="33" t="str"/>
      <x:c r="G10" s="33" t="str"/>
      <x:c r="H10" s="25" t="str"/>
      <x:c r="I10" s="25" t="str"/>
    </x:row>
    <x:row r="11" ht="42" customHeight="1">
      <x:c r="A11" s="25" t="str"/>
      <x:c r="B11" s="25" t="str"/>
      <x:c r="C11" s="25" t="str"/>
      <x:c r="D11" s="25" t="str"/>
      <x:c r="E11" s="33" t="str"/>
      <x:c r="F11" s="33" t="str"/>
      <x:c r="G11" s="33" t="str"/>
      <x:c r="H11" s="25" t="str"/>
      <x:c r="I11" s="25" t="str"/>
    </x:row>
    <x:row r="12" ht="42" customHeight="1">
      <x:c r="A12" s="25" t="str"/>
      <x:c r="B12" s="25" t="str"/>
      <x:c r="C12" s="25" t="str"/>
      <x:c r="D12" s="25" t="str"/>
      <x:c r="E12" s="33" t="str"/>
      <x:c r="F12" s="33" t="str"/>
      <x:c r="G12" s="33" t="str"/>
      <x:c r="H12" s="25" t="str"/>
      <x:c r="I12" s="25" t="str"/>
    </x:row>
    <x:row r="13" ht="42" customHeight="1">
      <x:c r="A13" s="25" t="str"/>
      <x:c r="B13" s="25" t="str"/>
      <x:c r="C13" s="25" t="str"/>
      <x:c r="D13" s="25" t="str"/>
      <x:c r="E13" s="33" t="str"/>
      <x:c r="F13" s="33" t="str"/>
      <x:c r="G13" s="33" t="str"/>
      <x:c r="H13" s="25" t="str"/>
      <x:c r="I13" s="25" t="str"/>
    </x:row>
    <x:row r="14" ht="42" customHeight="1">
      <x:c r="A14" s="25" t="str"/>
      <x:c r="B14" s="25" t="str"/>
      <x:c r="C14" s="25" t="str"/>
      <x:c r="D14" s="25" t="str"/>
      <x:c r="E14" s="33" t="str"/>
      <x:c r="F14" s="33" t="str"/>
      <x:c r="G14" s="33" t="str"/>
      <x:c r="H14" s="25" t="str"/>
      <x:c r="I14" s="25" t="str"/>
    </x:row>
    <x:row r="15" ht="42" customHeight="1">
      <x:c r="A15" s="25" t="str"/>
      <x:c r="B15" s="25" t="str"/>
      <x:c r="C15" s="25" t="str"/>
      <x:c r="D15" s="25" t="str"/>
      <x:c r="E15" s="33" t="str"/>
      <x:c r="F15" s="33" t="str"/>
      <x:c r="G15" s="33" t="str"/>
      <x:c r="H15" s="25" t="str"/>
      <x:c r="I15" s="25" t="str"/>
    </x:row>
    <x:row r="16" ht="42" customHeight="1">
      <x:c r="A16" s="25" t="str"/>
      <x:c r="B16" s="25" t="str"/>
      <x:c r="C16" s="25" t="str"/>
      <x:c r="D16" s="25" t="str"/>
      <x:c r="E16" s="33" t="str"/>
      <x:c r="F16" s="33" t="str"/>
      <x:c r="G16" s="33" t="str"/>
      <x:c r="H16" s="25" t="str"/>
      <x:c r="I16" s="25" t="str"/>
    </x:row>
    <x:row r="17" ht="42" customHeight="1">
      <x:c r="A17" s="25" t="str"/>
      <x:c r="B17" s="25" t="str"/>
      <x:c r="C17" s="25" t="str"/>
      <x:c r="D17" s="25" t="str"/>
      <x:c r="E17" s="33" t="str"/>
      <x:c r="F17" s="33" t="str"/>
      <x:c r="G17" s="33" t="str"/>
      <x:c r="H17" s="25" t="str"/>
      <x:c r="I17" s="25" t="str"/>
    </x:row>
    <x:row r="18" ht="42" customHeight="1">
      <x:c r="A18" s="25" t="str"/>
      <x:c r="B18" s="25" t="str"/>
      <x:c r="C18" s="25" t="str"/>
      <x:c r="D18" s="25" t="str"/>
      <x:c r="E18" s="33" t="str"/>
      <x:c r="F18" s="33" t="str"/>
      <x:c r="G18" s="33" t="str"/>
      <x:c r="H18" s="25" t="str"/>
      <x:c r="I18" s="25" t="str"/>
    </x:row>
    <x:row r="19" ht="42" customHeight="1">
      <x:c r="A19" s="25" t="str"/>
      <x:c r="B19" s="25" t="str"/>
      <x:c r="C19" s="25" t="str"/>
      <x:c r="D19" s="25" t="str"/>
      <x:c r="E19" s="33" t="str"/>
      <x:c r="F19" s="33" t="str"/>
      <x:c r="G19" s="33" t="str"/>
      <x:c r="H19" s="25" t="str"/>
      <x:c r="I19" s="25" t="str"/>
    </x:row>
    <x:row r="20" ht="42" customHeight="1">
      <x:c r="A20" s="25" t="str"/>
      <x:c r="B20" s="25" t="str"/>
      <x:c r="C20" s="25" t="str"/>
      <x:c r="D20" s="25" t="str"/>
      <x:c r="E20" s="33" t="str"/>
      <x:c r="F20" s="33" t="str"/>
      <x:c r="G20" s="33" t="str"/>
      <x:c r="H20" s="25" t="str"/>
      <x:c r="I20" s="25" t="str"/>
    </x:row>
    <x:row r="21" ht="42" customHeight="1">
      <x:c r="A21" s="25" t="str"/>
      <x:c r="B21" s="25" t="str"/>
      <x:c r="C21" s="25" t="str"/>
      <x:c r="D21" s="25" t="str"/>
      <x:c r="E21" s="33" t="str"/>
      <x:c r="F21" s="33" t="str"/>
      <x:c r="G21" s="33" t="str"/>
      <x:c r="H21" s="25" t="str"/>
      <x:c r="I21" s="25" t="str"/>
    </x:row>
    <x:row r="22" ht="42" customHeight="1">
      <x:c r="A22" s="25" t="str"/>
      <x:c r="B22" s="25" t="str"/>
      <x:c r="C22" s="25" t="str"/>
      <x:c r="D22" s="25" t="str"/>
      <x:c r="E22" s="33" t="str"/>
      <x:c r="F22" s="33" t="str"/>
      <x:c r="G22" s="33" t="str"/>
      <x:c r="H22" s="25" t="str"/>
      <x:c r="I22" s="25" t="str"/>
    </x:row>
    <x:row r="23" ht="42" customHeight="1">
      <x:c r="A23" s="25" t="str"/>
      <x:c r="B23" s="25" t="str"/>
      <x:c r="C23" s="25" t="str"/>
      <x:c r="D23" s="25" t="str"/>
      <x:c r="E23" s="33" t="str"/>
      <x:c r="F23" s="33" t="str"/>
      <x:c r="G23" s="33" t="str"/>
      <x:c r="H23" s="25" t="str"/>
      <x:c r="I23" s="25" t="str"/>
    </x:row>
    <x:row r="24" ht="42" customHeight="1">
      <x:c r="A24" s="25" t="str"/>
      <x:c r="B24" s="25" t="str"/>
      <x:c r="C24" s="25" t="str"/>
      <x:c r="D24" s="25" t="str"/>
      <x:c r="E24" s="33" t="str"/>
      <x:c r="F24" s="33" t="str"/>
      <x:c r="G24" s="33" t="str"/>
      <x:c r="H24" s="25" t="str"/>
      <x:c r="I24" s="25" t="str"/>
    </x:row>
    <x:row r="25" ht="42" customHeight="1">
      <x:c r="A25" s="25" t="str"/>
      <x:c r="B25" s="25" t="str"/>
      <x:c r="C25" s="25" t="str"/>
      <x:c r="D25" s="25" t="str"/>
      <x:c r="E25" s="33" t="str"/>
      <x:c r="F25" s="33" t="str"/>
      <x:c r="G25" s="33" t="str"/>
      <x:c r="H25" s="25" t="str"/>
      <x:c r="I25" s="25" t="str"/>
    </x:row>
    <x:row r="26" ht="42" customHeight="1">
      <x:c r="A26" s="25" t="str"/>
      <x:c r="B26" s="25" t="str"/>
      <x:c r="C26" s="25" t="str"/>
      <x:c r="D26" s="25" t="str"/>
      <x:c r="E26" s="33" t="str"/>
      <x:c r="F26" s="33" t="str"/>
      <x:c r="G26" s="33" t="str"/>
      <x:c r="H26" s="25" t="str"/>
      <x:c r="I26" s="25" t="str"/>
    </x:row>
    <x:row r="27" ht="42" customHeight="1">
      <x:c r="A27" s="25" t="str"/>
      <x:c r="B27" s="25" t="str"/>
      <x:c r="C27" s="25" t="str"/>
      <x:c r="D27" s="25" t="str"/>
      <x:c r="E27" s="33" t="str"/>
      <x:c r="F27" s="33" t="str"/>
      <x:c r="G27" s="33" t="str"/>
      <x:c r="H27" s="25" t="str"/>
      <x:c r="I27" s="25" t="str"/>
    </x:row>
    <x:row r="28" ht="42" customHeight="1">
      <x:c r="A28" s="25" t="str"/>
      <x:c r="B28" s="25" t="str"/>
      <x:c r="C28" s="25" t="str"/>
      <x:c r="D28" s="25" t="str"/>
      <x:c r="E28" s="33" t="str"/>
      <x:c r="F28" s="33" t="str"/>
      <x:c r="G28" s="33" t="str"/>
      <x:c r="H28" s="25" t="str"/>
      <x:c r="I28" s="25" t="str"/>
    </x:row>
    <x:row r="29" ht="42" customHeight="1">
      <x:c r="A29" s="25" t="str"/>
      <x:c r="B29" s="25" t="str"/>
      <x:c r="C29" s="25" t="str"/>
      <x:c r="D29" s="25" t="str"/>
      <x:c r="E29" s="33" t="str"/>
      <x:c r="F29" s="33" t="str"/>
      <x:c r="G29" s="33" t="str"/>
      <x:c r="H29" s="25" t="str"/>
      <x:c r="I29" s="25" t="str"/>
    </x:row>
    <x:row r="30" ht="42" customHeight="1">
      <x:c r="A30" s="25" t="str"/>
      <x:c r="B30" s="25" t="str"/>
      <x:c r="C30" s="25" t="str"/>
      <x:c r="D30" s="25" t="str"/>
      <x:c r="E30" s="33" t="str"/>
      <x:c r="F30" s="33" t="str"/>
      <x:c r="G30" s="33" t="str"/>
      <x:c r="H30" s="25" t="str"/>
      <x:c r="I30" s="25" t="str"/>
    </x:row>
    <x:row r="31" ht="42" customHeight="1">
      <x:c r="A31" s="25" t="str"/>
      <x:c r="B31" s="25" t="str"/>
      <x:c r="C31" s="25" t="str"/>
      <x:c r="D31" s="25" t="str"/>
      <x:c r="E31" s="33" t="str"/>
      <x:c r="F31" s="33" t="str"/>
      <x:c r="G31" s="33" t="str"/>
      <x:c r="H31" s="25" t="str"/>
      <x:c r="I31" s="25" t="str"/>
    </x:row>
    <x:row r="32" ht="42" customHeight="1">
      <x:c r="A32" s="25" t="str"/>
      <x:c r="B32" s="25" t="str"/>
      <x:c r="C32" s="25" t="str"/>
      <x:c r="D32" s="25" t="str"/>
      <x:c r="E32" s="33" t="str"/>
      <x:c r="F32" s="33" t="str"/>
      <x:c r="G32" s="33" t="str"/>
      <x:c r="H32" s="25" t="str"/>
      <x:c r="I32" s="25" t="str"/>
    </x:row>
    <x:row r="33" ht="42" customHeight="1">
      <x:c r="A33" s="25" t="str"/>
      <x:c r="B33" s="25" t="str"/>
      <x:c r="C33" s="25" t="str"/>
      <x:c r="D33" s="25" t="str"/>
      <x:c r="E33" s="33" t="str"/>
      <x:c r="F33" s="33" t="str"/>
      <x:c r="G33" s="33" t="str"/>
      <x:c r="H33" s="25" t="str"/>
      <x:c r="I33" s="25" t="str"/>
    </x:row>
    <x:row r="34" ht="42" customHeight="1">
      <x:c r="A34" s="25" t="str"/>
      <x:c r="B34" s="25" t="str"/>
      <x:c r="C34" s="25" t="str"/>
      <x:c r="D34" s="25" t="str"/>
      <x:c r="E34" s="33" t="str"/>
      <x:c r="F34" s="33" t="str"/>
      <x:c r="G34" s="33" t="str"/>
      <x:c r="H34" s="25" t="str"/>
      <x:c r="I34" s="25" t="str"/>
    </x:row>
    <x:row r="35" ht="42" customHeight="1">
      <x:c r="A35" s="25" t="str"/>
      <x:c r="B35" s="25" t="str"/>
      <x:c r="C35" s="25" t="str"/>
      <x:c r="D35" s="25" t="str"/>
      <x:c r="E35" s="33" t="str"/>
      <x:c r="F35" s="33" t="str"/>
      <x:c r="G35" s="33" t="str"/>
      <x:c r="H35" s="25" t="str"/>
      <x:c r="I35" s="25" t="str"/>
    </x:row>
    <x:row r="36" ht="42" customHeight="1">
      <x:c r="A36" s="25" t="str"/>
      <x:c r="B36" s="25" t="str"/>
      <x:c r="C36" s="25" t="str"/>
      <x:c r="D36" s="25" t="str"/>
      <x:c r="E36" s="33" t="str"/>
      <x:c r="F36" s="33" t="str"/>
      <x:c r="G36" s="33" t="str"/>
      <x:c r="H36" s="25" t="str"/>
      <x:c r="I36" s="25" t="str"/>
    </x:row>
    <x:row r="37" ht="42" customHeight="1">
      <x:c r="A37" s="25" t="str"/>
      <x:c r="B37" s="25" t="str"/>
      <x:c r="C37" s="25" t="str"/>
      <x:c r="D37" s="25" t="str"/>
      <x:c r="E37" s="33" t="str"/>
      <x:c r="F37" s="33" t="str"/>
      <x:c r="G37" s="33" t="str"/>
      <x:c r="H37" s="25" t="str"/>
      <x:c r="I37" s="25" t="str"/>
    </x:row>
    <x:row r="38" ht="42" customHeight="1">
      <x:c r="A38" s="25" t="str"/>
      <x:c r="B38" s="25" t="str"/>
      <x:c r="C38" s="25" t="str"/>
      <x:c r="D38" s="25" t="str"/>
      <x:c r="E38" s="33" t="str"/>
      <x:c r="F38" s="33" t="str"/>
      <x:c r="G38" s="33" t="str"/>
      <x:c r="H38" s="25" t="str"/>
      <x:c r="I38" s="25" t="str"/>
    </x:row>
    <x:row r="39" ht="42" customHeight="1">
      <x:c r="A39" s="25" t="str"/>
      <x:c r="B39" s="25" t="str"/>
      <x:c r="C39" s="25" t="str"/>
      <x:c r="D39" s="25" t="str"/>
      <x:c r="E39" s="33" t="str"/>
      <x:c r="F39" s="33" t="str"/>
      <x:c r="G39" s="33" t="str"/>
      <x:c r="H39" s="25" t="str"/>
      <x:c r="I39" s="25" t="str"/>
    </x:row>
    <x:row r="40" ht="42" customHeight="1">
      <x:c r="A40" s="25" t="str"/>
      <x:c r="B40" s="25" t="str"/>
      <x:c r="C40" s="25" t="str"/>
      <x:c r="D40" s="25" t="str"/>
      <x:c r="E40" s="33" t="str"/>
      <x:c r="F40" s="33" t="str"/>
      <x:c r="G40" s="33" t="str"/>
      <x:c r="H40" s="25" t="str"/>
      <x:c r="I40" s="25" t="str"/>
    </x:row>
    <x:row r="41" ht="42" customHeight="1">
      <x:c r="A41" s="25" t="str"/>
      <x:c r="B41" s="25" t="str"/>
      <x:c r="C41" s="25" t="str"/>
      <x:c r="D41" s="25" t="str"/>
      <x:c r="E41" s="33" t="str"/>
      <x:c r="F41" s="33" t="str"/>
      <x:c r="G41" s="33" t="str"/>
      <x:c r="H41" s="25" t="str"/>
      <x:c r="I41" s="25" t="str"/>
    </x:row>
    <x:row r="42" ht="42" customHeight="1">
      <x:c r="A42" s="25" t="str"/>
      <x:c r="B42" s="25" t="str"/>
      <x:c r="C42" s="25" t="str"/>
      <x:c r="D42" s="25" t="str"/>
      <x:c r="E42" s="33" t="str"/>
      <x:c r="F42" s="33" t="str"/>
      <x:c r="G42" s="33" t="str"/>
      <x:c r="H42" s="25" t="str"/>
      <x:c r="I42" s="25" t="str"/>
    </x:row>
    <x:row r="43" ht="42" customHeight="1">
      <x:c r="A43" s="25" t="str"/>
      <x:c r="B43" s="25" t="str"/>
      <x:c r="C43" s="25" t="str"/>
      <x:c r="D43" s="25" t="str"/>
      <x:c r="E43" s="33" t="str"/>
      <x:c r="F43" s="33" t="str"/>
      <x:c r="G43" s="33" t="str"/>
      <x:c r="H43" s="25" t="str"/>
      <x:c r="I43" s="25" t="str"/>
    </x:row>
    <x:row r="44" ht="42" customHeight="1">
      <x:c r="A44" s="25" t="str"/>
      <x:c r="B44" s="25" t="str"/>
      <x:c r="C44" s="25" t="str"/>
      <x:c r="D44" s="25" t="str"/>
      <x:c r="E44" s="33" t="str"/>
      <x:c r="F44" s="33" t="str"/>
      <x:c r="G44" s="33" t="str"/>
      <x:c r="H44" s="25" t="str"/>
      <x:c r="I44" s="25" t="str"/>
    </x:row>
    <x:row r="45" ht="42" customHeight="1">
      <x:c r="A45" s="25" t="str"/>
      <x:c r="B45" s="25" t="str"/>
      <x:c r="C45" s="25" t="str"/>
      <x:c r="D45" s="25" t="str"/>
      <x:c r="E45" s="33" t="str"/>
      <x:c r="F45" s="33" t="str"/>
      <x:c r="G45" s="33" t="str"/>
      <x:c r="H45" s="25" t="str"/>
      <x:c r="I45" s="25" t="str"/>
    </x:row>
    <x:row r="46" ht="42" customHeight="1">
      <x:c r="A46" s="25" t="str"/>
      <x:c r="B46" s="25" t="str"/>
      <x:c r="C46" s="25" t="str"/>
      <x:c r="D46" s="25" t="str"/>
      <x:c r="E46" s="33" t="str"/>
      <x:c r="F46" s="33" t="str"/>
      <x:c r="G46" s="33" t="str"/>
      <x:c r="H46" s="25" t="str"/>
      <x:c r="I46" s="25" t="str"/>
    </x:row>
    <x:row r="47" ht="42" customHeight="1">
      <x:c r="A47" s="25" t="str"/>
      <x:c r="B47" s="25" t="str"/>
      <x:c r="C47" s="25" t="str"/>
      <x:c r="D47" s="25" t="str"/>
      <x:c r="E47" s="33" t="str"/>
      <x:c r="F47" s="33" t="str"/>
      <x:c r="G47" s="33" t="str"/>
      <x:c r="H47" s="25" t="str"/>
      <x:c r="I47" s="25" t="str"/>
    </x:row>
    <x:row r="48" ht="42" customHeight="1">
      <x:c r="A48" s="25" t="str"/>
      <x:c r="B48" s="25" t="str"/>
      <x:c r="C48" s="25" t="str"/>
      <x:c r="D48" s="25" t="str"/>
      <x:c r="E48" s="33" t="str"/>
      <x:c r="F48" s="33" t="str"/>
      <x:c r="G48" s="33" t="str"/>
      <x:c r="H48" s="25" t="str"/>
      <x:c r="I48" s="25" t="str"/>
    </x:row>
    <x:row r="49" ht="42" customHeight="1">
      <x:c r="A49" s="25" t="str"/>
      <x:c r="B49" s="25" t="str"/>
      <x:c r="C49" s="25" t="str"/>
      <x:c r="D49" s="25" t="str"/>
      <x:c r="E49" s="33" t="str"/>
      <x:c r="F49" s="33" t="str"/>
      <x:c r="G49" s="33" t="str"/>
      <x:c r="H49" s="25" t="str"/>
      <x:c r="I49" s="25" t="str"/>
    </x:row>
    <x:row r="50" ht="42" customHeight="1">
      <x:c r="A50" s="25" t="str"/>
      <x:c r="B50" s="25" t="str"/>
      <x:c r="C50" s="25" t="str"/>
      <x:c r="D50" s="25" t="str"/>
      <x:c r="E50" s="33" t="str"/>
      <x:c r="F50" s="33" t="str"/>
      <x:c r="G50" s="33" t="str"/>
      <x:c r="H50" s="25" t="str"/>
      <x:c r="I50" s="25" t="str"/>
    </x:row>
    <x:row r="51" ht="42" customHeight="1">
      <x:c r="A51" s="25" t="str"/>
      <x:c r="B51" s="25" t="str"/>
      <x:c r="C51" s="25" t="str"/>
      <x:c r="D51" s="25" t="str"/>
      <x:c r="E51" s="33" t="str"/>
      <x:c r="F51" s="33" t="str"/>
      <x:c r="G51" s="33" t="str"/>
      <x:c r="H51" s="25" t="str"/>
      <x:c r="I51" s="25" t="str"/>
    </x:row>
    <x:row r="52" ht="42" customHeight="1">
      <x:c r="A52" s="25" t="str"/>
      <x:c r="B52" s="25" t="str"/>
      <x:c r="C52" s="25" t="str"/>
      <x:c r="D52" s="25" t="str"/>
      <x:c r="E52" s="33" t="str"/>
      <x:c r="F52" s="33" t="str"/>
      <x:c r="G52" s="33" t="str"/>
      <x:c r="H52" s="25" t="str"/>
      <x:c r="I52" s="25" t="str"/>
    </x:row>
    <x:row r="53" ht="42" customHeight="1">
      <x:c r="A53" s="25" t="str"/>
      <x:c r="B53" s="25" t="str"/>
      <x:c r="C53" s="25" t="str"/>
      <x:c r="D53" s="25" t="str"/>
      <x:c r="E53" s="33" t="str"/>
      <x:c r="F53" s="33" t="str"/>
      <x:c r="G53" s="33" t="str"/>
      <x:c r="H53" s="25" t="str"/>
      <x:c r="I53" s="25" t="str"/>
    </x:row>
    <x:row r="54" ht="42" customHeight="1">
      <x:c r="A54" s="25" t="str"/>
      <x:c r="B54" s="25" t="str"/>
      <x:c r="C54" s="25" t="str"/>
      <x:c r="D54" s="25" t="str"/>
      <x:c r="E54" s="33" t="str"/>
      <x:c r="F54" s="33" t="str"/>
      <x:c r="G54" s="33" t="str"/>
      <x:c r="H54" s="25" t="str"/>
      <x:c r="I54" s="25" t="str"/>
    </x:row>
    <x:row r="55" ht="42" customHeight="1">
      <x:c r="A55" s="25" t="str"/>
      <x:c r="B55" s="25" t="str"/>
      <x:c r="C55" s="25" t="str"/>
      <x:c r="D55" s="25" t="str"/>
      <x:c r="E55" s="33" t="str"/>
      <x:c r="F55" s="33" t="str"/>
      <x:c r="G55" s="33" t="str"/>
      <x:c r="H55" s="25" t="str"/>
      <x:c r="I55" s="25" t="str"/>
    </x:row>
    <x:row r="56" ht="42" customHeight="1">
      <x:c r="A56" s="25" t="str"/>
      <x:c r="B56" s="25" t="str"/>
      <x:c r="C56" s="25" t="str"/>
      <x:c r="D56" s="25" t="str"/>
      <x:c r="E56" s="33" t="str"/>
      <x:c r="F56" s="33" t="str"/>
      <x:c r="G56" s="33" t="str"/>
      <x:c r="H56" s="25" t="str"/>
      <x:c r="I56" s="25" t="str"/>
    </x:row>
    <x:row r="57" ht="42" customHeight="1">
      <x:c r="A57" s="25" t="str"/>
      <x:c r="B57" s="25" t="str"/>
      <x:c r="C57" s="25" t="str"/>
      <x:c r="D57" s="25" t="str"/>
      <x:c r="E57" s="33" t="str"/>
      <x:c r="F57" s="33" t="str"/>
      <x:c r="G57" s="33" t="str"/>
      <x:c r="H57" s="25" t="str"/>
      <x:c r="I57" s="25" t="str"/>
    </x:row>
    <x:row r="58" ht="42" customHeight="1">
      <x:c r="A58" s="25" t="str"/>
      <x:c r="B58" s="25" t="str"/>
      <x:c r="C58" s="25" t="str"/>
      <x:c r="D58" s="25" t="str"/>
      <x:c r="E58" s="33" t="str"/>
      <x:c r="F58" s="33" t="str"/>
      <x:c r="G58" s="33" t="str"/>
      <x:c r="H58" s="25" t="str"/>
      <x:c r="I58" s="25" t="str"/>
    </x:row>
    <x:row r="59" ht="42" customHeight="1">
      <x:c r="A59" s="25" t="str"/>
      <x:c r="B59" s="25" t="str"/>
      <x:c r="C59" s="25" t="str"/>
      <x:c r="D59" s="25" t="str"/>
      <x:c r="E59" s="33" t="str"/>
      <x:c r="F59" s="33" t="str"/>
      <x:c r="G59" s="33" t="str"/>
      <x:c r="H59" s="25" t="str"/>
      <x:c r="I59" s="25" t="str"/>
    </x:row>
    <x:row r="60" ht="42" customHeight="1">
      <x:c r="A60" s="25" t="str"/>
      <x:c r="B60" s="25" t="str"/>
      <x:c r="C60" s="25" t="str"/>
      <x:c r="D60" s="25" t="str"/>
      <x:c r="E60" s="33" t="str"/>
      <x:c r="F60" s="33" t="str"/>
      <x:c r="G60" s="33" t="str"/>
      <x:c r="H60" s="25" t="str"/>
      <x:c r="I60" s="25" t="str"/>
    </x:row>
    <x:row r="61" ht="42" customHeight="1">
      <x:c r="A61" s="25" t="str"/>
      <x:c r="B61" s="25" t="str"/>
      <x:c r="C61" s="25" t="str"/>
      <x:c r="D61" s="25" t="str"/>
      <x:c r="E61" s="33" t="str"/>
      <x:c r="F61" s="33" t="str"/>
      <x:c r="G61" s="33" t="str"/>
      <x:c r="H61" s="25" t="str"/>
      <x:c r="I61" s="25" t="str"/>
    </x:row>
    <x:row r="62" ht="42" customHeight="1">
      <x:c r="A62" s="25" t="str"/>
      <x:c r="B62" s="25" t="str"/>
      <x:c r="C62" s="25" t="str"/>
      <x:c r="D62" s="25" t="str"/>
      <x:c r="E62" s="33" t="str"/>
      <x:c r="F62" s="33" t="str"/>
      <x:c r="G62" s="33" t="str"/>
      <x:c r="H62" s="25" t="str"/>
      <x:c r="I62" s="25" t="str"/>
    </x:row>
    <x:row r="63" ht="42" customHeight="1">
      <x:c r="A63" s="25" t="str"/>
      <x:c r="B63" s="25" t="str"/>
      <x:c r="C63" s="25" t="str"/>
      <x:c r="D63" s="25" t="str"/>
      <x:c r="E63" s="33" t="str"/>
      <x:c r="F63" s="33" t="str"/>
      <x:c r="G63" s="33" t="str"/>
      <x:c r="H63" s="25" t="str"/>
      <x:c r="I63" s="25" t="str"/>
    </x:row>
    <x:row r="64" ht="42" customHeight="1">
      <x:c r="A64" s="25" t="str"/>
      <x:c r="B64" s="25" t="str"/>
      <x:c r="C64" s="25" t="str"/>
      <x:c r="D64" s="25" t="str"/>
      <x:c r="E64" s="33" t="str"/>
      <x:c r="F64" s="33" t="str"/>
      <x:c r="G64" s="33" t="str"/>
      <x:c r="H64" s="25" t="str"/>
      <x:c r="I64" s="25" t="str"/>
    </x:row>
    <x:row r="65" ht="42" customHeight="1">
      <x:c r="A65" s="25" t="str"/>
      <x:c r="B65" s="25" t="str"/>
      <x:c r="C65" s="25" t="str"/>
      <x:c r="D65" s="25" t="str"/>
      <x:c r="E65" s="33" t="str"/>
      <x:c r="F65" s="33" t="str"/>
      <x:c r="G65" s="33" t="str"/>
      <x:c r="H65" s="25" t="str"/>
      <x:c r="I65" s="25" t="str"/>
    </x:row>
    <x:row r="66" ht="42" customHeight="1">
      <x:c r="A66" s="25" t="str"/>
      <x:c r="B66" s="25" t="str"/>
      <x:c r="C66" s="25" t="str"/>
      <x:c r="D66" s="25" t="str"/>
      <x:c r="E66" s="33" t="str"/>
      <x:c r="F66" s="33" t="str"/>
      <x:c r="G66" s="33" t="str"/>
      <x:c r="H66" s="25" t="str"/>
      <x:c r="I66" s="25" t="str"/>
    </x:row>
    <x:row r="67" ht="42" customHeight="1">
      <x:c r="A67" s="25" t="str"/>
      <x:c r="B67" s="25" t="str"/>
      <x:c r="C67" s="25" t="str"/>
      <x:c r="D67" s="25" t="str"/>
      <x:c r="E67" s="33" t="str"/>
      <x:c r="F67" s="33" t="str"/>
      <x:c r="G67" s="33" t="str"/>
      <x:c r="H67" s="25" t="str"/>
      <x:c r="I67" s="25" t="str"/>
    </x:row>
    <x:row r="68" ht="42" customHeight="1">
      <x:c r="A68" s="25" t="str"/>
      <x:c r="B68" s="25" t="str"/>
      <x:c r="C68" s="25" t="str"/>
      <x:c r="D68" s="25" t="str"/>
      <x:c r="E68" s="33" t="str"/>
      <x:c r="F68" s="33" t="str"/>
      <x:c r="G68" s="33" t="str"/>
      <x:c r="H68" s="25" t="str"/>
      <x:c r="I68" s="25" t="str"/>
    </x:row>
    <x:row r="69" ht="42" customHeight="1">
      <x:c r="A69" s="25" t="str"/>
      <x:c r="B69" s="25" t="str"/>
      <x:c r="C69" s="25" t="str"/>
      <x:c r="D69" s="25" t="str"/>
      <x:c r="E69" s="33" t="str"/>
      <x:c r="F69" s="33" t="str"/>
      <x:c r="G69" s="33" t="str"/>
      <x:c r="H69" s="25" t="str"/>
      <x:c r="I69" s="25" t="str"/>
    </x:row>
    <x:row r="70" ht="42" customHeight="1">
      <x:c r="A70" s="25" t="str"/>
      <x:c r="B70" s="25" t="str"/>
      <x:c r="C70" s="25" t="str"/>
      <x:c r="D70" s="25" t="str"/>
      <x:c r="E70" s="33" t="str"/>
      <x:c r="F70" s="33" t="str"/>
      <x:c r="G70" s="33" t="str"/>
      <x:c r="H70" s="25" t="str"/>
      <x:c r="I70" s="25" t="str"/>
    </x:row>
    <x:row r="71" ht="42" customHeight="1">
      <x:c r="A71" s="25" t="str"/>
      <x:c r="B71" s="25" t="str"/>
      <x:c r="C71" s="25" t="str"/>
      <x:c r="D71" s="25" t="str"/>
      <x:c r="E71" s="33" t="str"/>
      <x:c r="F71" s="33" t="str"/>
      <x:c r="G71" s="33" t="str"/>
      <x:c r="H71" s="25" t="str"/>
      <x:c r="I71" s="25" t="str"/>
    </x:row>
    <x:row r="72" ht="42" customHeight="1">
      <x:c r="A72" s="25" t="str"/>
      <x:c r="B72" s="25" t="str"/>
      <x:c r="C72" s="25" t="str"/>
      <x:c r="D72" s="25" t="str"/>
      <x:c r="E72" s="33" t="str"/>
      <x:c r="F72" s="33" t="str"/>
      <x:c r="G72" s="33" t="str"/>
      <x:c r="H72" s="25" t="str"/>
      <x:c r="I72" s="25" t="str"/>
    </x:row>
    <x:row r="73" ht="42" customHeight="1">
      <x:c r="A73" s="25" t="str"/>
      <x:c r="B73" s="25" t="str"/>
      <x:c r="C73" s="25" t="str"/>
      <x:c r="D73" s="25" t="str"/>
      <x:c r="E73" s="33" t="str"/>
      <x:c r="F73" s="33" t="str"/>
      <x:c r="G73" s="33" t="str"/>
      <x:c r="H73" s="25" t="str"/>
      <x:c r="I73" s="25" t="str"/>
    </x:row>
    <x:row r="74" ht="42" customHeight="1">
      <x:c r="A74" s="25" t="str"/>
      <x:c r="B74" s="25" t="str"/>
      <x:c r="C74" s="25" t="str"/>
      <x:c r="D74" s="25" t="str"/>
      <x:c r="E74" s="33" t="str"/>
      <x:c r="F74" s="33" t="str"/>
      <x:c r="G74" s="33" t="str"/>
      <x:c r="H74" s="25" t="str"/>
      <x:c r="I74" s="25" t="str"/>
    </x:row>
    <x:row r="75" ht="42" customHeight="1">
      <x:c r="A75" s="25" t="str"/>
      <x:c r="B75" s="25" t="str"/>
      <x:c r="C75" s="25" t="str"/>
      <x:c r="D75" s="25" t="str"/>
      <x:c r="E75" s="33" t="str"/>
      <x:c r="F75" s="33" t="str"/>
      <x:c r="G75" s="33" t="str"/>
      <x:c r="H75" s="25" t="str"/>
      <x:c r="I75" s="25" t="str"/>
    </x:row>
    <x:row r="76" ht="42" customHeight="1">
      <x:c r="A76" s="25" t="str"/>
      <x:c r="B76" s="25" t="str"/>
      <x:c r="C76" s="25" t="str"/>
      <x:c r="D76" s="25" t="str"/>
      <x:c r="E76" s="33" t="str"/>
      <x:c r="F76" s="33" t="str"/>
      <x:c r="G76" s="33" t="str"/>
      <x:c r="H76" s="25" t="str"/>
      <x:c r="I76" s="25" t="str"/>
    </x:row>
    <x:row r="77" ht="42" customHeight="1">
      <x:c r="A77" s="25" t="str"/>
      <x:c r="B77" s="25" t="str"/>
      <x:c r="C77" s="25" t="str"/>
      <x:c r="D77" s="25" t="str"/>
      <x:c r="E77" s="33" t="str"/>
      <x:c r="F77" s="33" t="str"/>
      <x:c r="G77" s="33" t="str"/>
      <x:c r="H77" s="25" t="str"/>
      <x:c r="I77" s="25" t="str"/>
    </x:row>
    <x:row r="78" ht="42" customHeight="1">
      <x:c r="A78" s="25" t="str"/>
      <x:c r="B78" s="25" t="str"/>
      <x:c r="C78" s="25" t="str"/>
      <x:c r="D78" s="25" t="str"/>
      <x:c r="E78" s="33" t="str"/>
      <x:c r="F78" s="33" t="str"/>
      <x:c r="G78" s="33" t="str"/>
      <x:c r="H78" s="25" t="str"/>
      <x:c r="I78" s="25" t="str"/>
    </x:row>
    <x:row r="79" ht="42" customHeight="1">
      <x:c r="A79" s="25" t="str"/>
      <x:c r="B79" s="25" t="str"/>
      <x:c r="C79" s="25" t="str"/>
      <x:c r="D79" s="25" t="str"/>
      <x:c r="E79" s="33" t="str"/>
      <x:c r="F79" s="33" t="str"/>
      <x:c r="G79" s="33" t="str"/>
      <x:c r="H79" s="25" t="str"/>
      <x:c r="I79" s="25" t="str"/>
    </x:row>
    <x:row r="80" ht="42" customHeight="1">
      <x:c r="A80" s="25" t="str"/>
      <x:c r="B80" s="25" t="str"/>
      <x:c r="C80" s="25" t="str"/>
      <x:c r="D80" s="25" t="str"/>
      <x:c r="E80" s="33" t="str"/>
      <x:c r="F80" s="33" t="str"/>
      <x:c r="G80" s="33" t="str"/>
      <x:c r="H80" s="25" t="str"/>
      <x:c r="I80" s="25" t="str"/>
    </x:row>
    <x:row r="81" ht="42" customHeight="1">
      <x:c r="A81" s="25" t="str"/>
      <x:c r="B81" s="25" t="str"/>
      <x:c r="C81" s="25" t="str"/>
      <x:c r="D81" s="25" t="str"/>
      <x:c r="E81" s="33" t="str"/>
      <x:c r="F81" s="33" t="str"/>
      <x:c r="G81" s="33" t="str"/>
      <x:c r="H81" s="25" t="str"/>
      <x:c r="I81" s="25" t="str"/>
    </x:row>
    <x:row r="82" ht="42" customHeight="1">
      <x:c r="A82" s="25" t="str"/>
      <x:c r="B82" s="25" t="str"/>
      <x:c r="C82" s="25" t="str"/>
      <x:c r="D82" s="25" t="str"/>
      <x:c r="E82" s="33" t="str"/>
      <x:c r="F82" s="33" t="str"/>
      <x:c r="G82" s="33" t="str"/>
      <x:c r="H82" s="25" t="str"/>
      <x:c r="I82" s="25" t="str"/>
    </x:row>
    <x:row r="83" ht="42" customHeight="1">
      <x:c r="A83" s="25" t="str"/>
      <x:c r="B83" s="25" t="str"/>
      <x:c r="C83" s="25" t="str"/>
      <x:c r="D83" s="25" t="str"/>
      <x:c r="E83" s="33" t="str"/>
      <x:c r="F83" s="33" t="str"/>
      <x:c r="G83" s="33" t="str"/>
      <x:c r="H83" s="25" t="str"/>
      <x:c r="I83" s="25" t="str"/>
    </x:row>
    <x:row r="84" ht="42" customHeight="1">
      <x:c r="A84" s="25" t="str"/>
      <x:c r="B84" s="25" t="str"/>
      <x:c r="C84" s="25" t="str"/>
      <x:c r="D84" s="25" t="str"/>
      <x:c r="E84" s="33" t="str"/>
      <x:c r="F84" s="33" t="str"/>
      <x:c r="G84" s="33" t="str"/>
      <x:c r="H84" s="25" t="str"/>
      <x:c r="I84" s="25" t="str"/>
    </x:row>
    <x:row r="85" ht="42" customHeight="1">
      <x:c r="A85" s="25" t="str"/>
      <x:c r="B85" s="25" t="str"/>
      <x:c r="C85" s="25" t="str"/>
      <x:c r="D85" s="25" t="str"/>
      <x:c r="E85" s="33" t="str"/>
      <x:c r="F85" s="33" t="str"/>
      <x:c r="G85" s="33" t="str"/>
      <x:c r="H85" s="25" t="str"/>
      <x:c r="I85" s="25" t="str"/>
    </x:row>
    <x:row r="86" ht="42" customHeight="1">
      <x:c r="A86" s="25" t="str"/>
      <x:c r="B86" s="25" t="str"/>
      <x:c r="C86" s="25" t="str"/>
      <x:c r="D86" s="25" t="str"/>
      <x:c r="E86" s="33" t="str"/>
      <x:c r="F86" s="33" t="str"/>
      <x:c r="G86" s="33" t="str"/>
      <x:c r="H86" s="25" t="str"/>
      <x:c r="I86" s="25" t="str"/>
    </x:row>
    <x:row r="87" ht="42" customHeight="1">
      <x:c r="A87" s="25" t="str"/>
      <x:c r="B87" s="25" t="str"/>
      <x:c r="C87" s="25" t="str"/>
      <x:c r="D87" s="25" t="str"/>
      <x:c r="E87" s="33" t="str"/>
      <x:c r="F87" s="33" t="str"/>
      <x:c r="G87" s="33" t="str"/>
      <x:c r="H87" s="25" t="str"/>
      <x:c r="I87" s="25" t="str"/>
    </x:row>
    <x:row r="88" ht="42" customHeight="1">
      <x:c r="A88" s="25" t="str"/>
      <x:c r="B88" s="25" t="str"/>
      <x:c r="C88" s="25" t="str"/>
      <x:c r="D88" s="25" t="str"/>
      <x:c r="E88" s="33" t="str"/>
      <x:c r="F88" s="33" t="str"/>
      <x:c r="G88" s="33" t="str"/>
      <x:c r="H88" s="25" t="str"/>
      <x:c r="I88" s="25" t="str"/>
    </x:row>
    <x:row r="89" ht="42" customHeight="1">
      <x:c r="A89" s="25" t="str"/>
      <x:c r="B89" s="25" t="str"/>
      <x:c r="C89" s="25" t="str"/>
      <x:c r="D89" s="25" t="str"/>
      <x:c r="E89" s="33" t="str"/>
      <x:c r="F89" s="33" t="str"/>
      <x:c r="G89" s="33" t="str"/>
      <x:c r="H89" s="25" t="str"/>
      <x:c r="I89" s="25" t="str"/>
    </x:row>
    <x:row r="90" ht="42" customHeight="1">
      <x:c r="A90" s="25" t="str"/>
      <x:c r="B90" s="25" t="str"/>
      <x:c r="C90" s="25" t="str"/>
      <x:c r="D90" s="25" t="str"/>
      <x:c r="E90" s="33" t="str"/>
      <x:c r="F90" s="33" t="str"/>
      <x:c r="G90" s="33" t="str"/>
      <x:c r="H90" s="25" t="str"/>
      <x:c r="I90" s="25" t="str"/>
    </x:row>
    <x:row r="91" ht="42" customHeight="1">
      <x:c r="A91" s="25" t="str"/>
      <x:c r="B91" s="25" t="str"/>
      <x:c r="C91" s="25" t="str"/>
      <x:c r="D91" s="25" t="str"/>
      <x:c r="E91" s="33" t="str"/>
      <x:c r="F91" s="33" t="str"/>
      <x:c r="G91" s="33" t="str"/>
      <x:c r="H91" s="25" t="str"/>
      <x:c r="I91" s="25" t="str"/>
    </x:row>
    <x:row r="92" ht="42" customHeight="1">
      <x:c r="A92" s="25" t="str"/>
      <x:c r="B92" s="25" t="str"/>
      <x:c r="C92" s="25" t="str"/>
      <x:c r="D92" s="25" t="str"/>
      <x:c r="E92" s="33" t="str"/>
      <x:c r="F92" s="33" t="str"/>
      <x:c r="G92" s="33" t="str"/>
      <x:c r="H92" s="25" t="str"/>
      <x:c r="I92" s="25" t="str"/>
    </x:row>
    <x:row r="93" ht="42" customHeight="1">
      <x:c r="A93" s="25" t="str"/>
      <x:c r="B93" s="25" t="str"/>
      <x:c r="C93" s="25" t="str"/>
      <x:c r="D93" s="25" t="str"/>
      <x:c r="E93" s="33" t="str"/>
      <x:c r="F93" s="33" t="str"/>
      <x:c r="G93" s="33" t="str"/>
      <x:c r="H93" s="25" t="str"/>
      <x:c r="I93" s="25" t="str"/>
    </x:row>
    <x:row r="94" ht="42" customHeight="1">
      <x:c r="A94" s="25" t="str"/>
      <x:c r="B94" s="25" t="str"/>
      <x:c r="C94" s="25" t="str"/>
      <x:c r="D94" s="25" t="str"/>
      <x:c r="E94" s="33" t="str"/>
      <x:c r="F94" s="33" t="str"/>
      <x:c r="G94" s="33" t="str"/>
      <x:c r="H94" s="25" t="str"/>
      <x:c r="I94" s="25" t="str"/>
    </x:row>
    <x:row r="95" ht="42" customHeight="1">
      <x:c r="A95" s="25" t="str"/>
      <x:c r="B95" s="25" t="str"/>
      <x:c r="C95" s="25" t="str"/>
      <x:c r="D95" s="25" t="str"/>
      <x:c r="E95" s="33" t="str"/>
      <x:c r="F95" s="33" t="str"/>
      <x:c r="G95" s="33" t="str"/>
      <x:c r="H95" s="25" t="str"/>
      <x:c r="I95" s="25" t="str"/>
    </x:row>
    <x:row r="96" ht="42" customHeight="1">
      <x:c r="A96" s="25" t="str"/>
      <x:c r="B96" s="25" t="str"/>
      <x:c r="C96" s="25" t="str"/>
      <x:c r="D96" s="25" t="str"/>
      <x:c r="E96" s="33" t="str"/>
      <x:c r="F96" s="33" t="str"/>
      <x:c r="G96" s="33" t="str"/>
      <x:c r="H96" s="25" t="str"/>
      <x:c r="I96" s="25" t="str"/>
    </x:row>
    <x:row r="97" ht="42" customHeight="1">
      <x:c r="A97" s="25" t="str"/>
      <x:c r="B97" s="25" t="str"/>
      <x:c r="C97" s="25" t="str"/>
      <x:c r="D97" s="25" t="str"/>
      <x:c r="E97" s="33" t="str"/>
      <x:c r="F97" s="33" t="str"/>
      <x:c r="G97" s="33" t="str"/>
      <x:c r="H97" s="25" t="str"/>
      <x:c r="I97" s="25" t="str"/>
    </x:row>
    <x:row r="98" ht="42" customHeight="1">
      <x:c r="A98" s="25" t="str"/>
      <x:c r="B98" s="25" t="str"/>
      <x:c r="C98" s="25" t="str"/>
      <x:c r="D98" s="25" t="str"/>
      <x:c r="E98" s="33" t="str"/>
      <x:c r="F98" s="33" t="str"/>
      <x:c r="G98" s="33" t="str"/>
      <x:c r="H98" s="25" t="str"/>
      <x:c r="I98" s="25" t="str"/>
    </x:row>
    <x:row r="99" ht="42" customHeight="1">
      <x:c r="A99" s="25" t="str"/>
      <x:c r="B99" s="25" t="str"/>
      <x:c r="C99" s="25" t="str"/>
      <x:c r="D99" s="25" t="str"/>
      <x:c r="E99" s="33" t="str"/>
      <x:c r="F99" s="33" t="str"/>
      <x:c r="G99" s="33" t="str"/>
      <x:c r="H99" s="25" t="str"/>
      <x:c r="I99" s="25" t="str"/>
    </x:row>
    <x:row r="100" ht="42" customHeight="1">
      <x:c r="A100" s="25" t="str"/>
      <x:c r="B100" s="25" t="str"/>
      <x:c r="C100" s="25" t="str"/>
      <x:c r="D100" s="25" t="str"/>
      <x:c r="E100" s="33" t="str"/>
      <x:c r="F100" s="33" t="str"/>
      <x:c r="G100" s="33" t="str"/>
      <x:c r="H100" s="25" t="str"/>
      <x:c r="I100" s="25" t="str"/>
    </x:row>
    <x:row r="101" ht="42" customHeight="1">
      <x:c r="A101" s="25" t="str"/>
      <x:c r="B101" s="25" t="str"/>
      <x:c r="C101" s="25" t="str"/>
      <x:c r="D101" s="25" t="str"/>
      <x:c r="E101" s="33" t="str"/>
      <x:c r="F101" s="33" t="str"/>
      <x:c r="G101" s="33" t="str"/>
      <x:c r="H101" s="25" t="str"/>
      <x:c r="I101" s="25" t="str"/>
    </x:row>
    <x:row r="102" ht="42" customHeight="1">
      <x:c r="A102" s="25" t="str"/>
      <x:c r="B102" s="25" t="str"/>
      <x:c r="C102" s="25" t="str"/>
      <x:c r="D102" s="25" t="str"/>
      <x:c r="E102" s="33" t="str"/>
      <x:c r="F102" s="33" t="str"/>
      <x:c r="G102" s="33" t="str"/>
      <x:c r="H102" s="25" t="str"/>
      <x:c r="I102" s="25" t="str"/>
    </x:row>
    <x:row r="103" ht="42" customHeight="1">
      <x:c r="A103" s="25" t="str"/>
      <x:c r="B103" s="25" t="str"/>
      <x:c r="C103" s="25" t="str"/>
      <x:c r="D103" s="25" t="str"/>
      <x:c r="E103" s="33" t="str"/>
      <x:c r="F103" s="33" t="str"/>
      <x:c r="G103" s="33" t="str"/>
      <x:c r="H103" s="25" t="str"/>
      <x:c r="I103" s="25" t="str"/>
    </x:row>
    <x:row r="104" ht="42" customHeight="1">
      <x:c r="A104" s="25" t="str"/>
      <x:c r="B104" s="25" t="str"/>
      <x:c r="C104" s="25" t="str"/>
      <x:c r="D104" s="25" t="str"/>
      <x:c r="E104" s="33" t="str"/>
      <x:c r="F104" s="33" t="str"/>
      <x:c r="G104" s="33" t="str"/>
      <x:c r="H104" s="25" t="str"/>
      <x:c r="I104" s="25" t="str"/>
    </x:row>
    <x:row r="105" ht="42" customHeight="1">
      <x:c r="A105" s="25" t="str"/>
      <x:c r="B105" s="25" t="str"/>
      <x:c r="C105" s="25" t="str"/>
      <x:c r="D105" s="25" t="str"/>
      <x:c r="E105" s="33" t="str"/>
      <x:c r="F105" s="33" t="str"/>
      <x:c r="G105" s="33" t="str"/>
      <x:c r="H105" s="25" t="str"/>
      <x:c r="I105" s="25" t="str"/>
    </x:row>
    <x:row r="106" ht="42" customHeight="1">
      <x:c r="A106" s="25" t="str"/>
      <x:c r="B106" s="25" t="str"/>
      <x:c r="C106" s="25" t="str"/>
      <x:c r="D106" s="25" t="str"/>
      <x:c r="E106" s="33" t="str"/>
      <x:c r="F106" s="33" t="str"/>
      <x:c r="G106" s="33" t="str"/>
      <x:c r="H106" s="25" t="str"/>
      <x:c r="I106" s="25" t="str"/>
    </x:row>
    <x:row r="107" ht="42" customHeight="1">
      <x:c r="A107" s="25" t="str"/>
      <x:c r="B107" s="25" t="str"/>
      <x:c r="C107" s="25" t="str"/>
      <x:c r="D107" s="25" t="str"/>
      <x:c r="E107" s="33" t="str"/>
      <x:c r="F107" s="33" t="str"/>
      <x:c r="G107" s="33" t="str"/>
      <x:c r="H107" s="25" t="str"/>
      <x:c r="I107" s="25" t="str"/>
    </x:row>
    <x:row r="108" ht="42" customHeight="1">
      <x:c r="A108" s="25" t="str"/>
      <x:c r="B108" s="25" t="str"/>
      <x:c r="C108" s="25" t="str"/>
      <x:c r="D108" s="25" t="str"/>
      <x:c r="E108" s="33" t="str"/>
      <x:c r="F108" s="33" t="str"/>
      <x:c r="G108" s="33" t="str"/>
      <x:c r="H108" s="25" t="str"/>
      <x:c r="I108" s="25" t="str"/>
    </x:row>
    <x:row r="109" ht="42" customHeight="1">
      <x:c r="A109" s="25" t="str"/>
      <x:c r="B109" s="25" t="str"/>
      <x:c r="C109" s="25" t="str"/>
      <x:c r="D109" s="25" t="str"/>
      <x:c r="E109" s="33" t="str"/>
      <x:c r="F109" s="33" t="str"/>
      <x:c r="G109" s="33" t="str"/>
      <x:c r="H109" s="25" t="str"/>
      <x:c r="I109" s="25" t="str"/>
    </x:row>
    <x:row r="110" ht="42" customHeight="1">
      <x:c r="A110" s="25" t="str"/>
      <x:c r="B110" s="25" t="str"/>
      <x:c r="C110" s="25" t="str"/>
      <x:c r="D110" s="25" t="str"/>
      <x:c r="E110" s="33" t="str"/>
      <x:c r="F110" s="33" t="str"/>
      <x:c r="G110" s="33" t="str"/>
      <x:c r="H110" s="25" t="str"/>
      <x:c r="I110" s="25" t="str"/>
    </x:row>
    <x:row r="111" ht="42" customHeight="1">
      <x:c r="A111" s="25" t="str"/>
      <x:c r="B111" s="25" t="str"/>
      <x:c r="C111" s="25" t="str"/>
      <x:c r="D111" s="25" t="str"/>
      <x:c r="E111" s="33" t="str"/>
      <x:c r="F111" s="33" t="str"/>
      <x:c r="G111" s="33" t="str"/>
      <x:c r="H111" s="25" t="str"/>
      <x:c r="I111" s="25" t="str"/>
    </x:row>
    <x:row r="112" ht="42" customHeight="1">
      <x:c r="A112" s="25" t="str"/>
      <x:c r="B112" s="25" t="str"/>
      <x:c r="C112" s="25" t="str"/>
      <x:c r="D112" s="25" t="str"/>
      <x:c r="E112" s="33" t="str"/>
      <x:c r="F112" s="33" t="str"/>
      <x:c r="G112" s="33" t="str"/>
      <x:c r="H112" s="25" t="str"/>
      <x:c r="I112" s="25" t="str"/>
    </x:row>
    <x:row r="113" ht="42" customHeight="1">
      <x:c r="A113" s="25" t="str"/>
      <x:c r="B113" s="25" t="str"/>
      <x:c r="C113" s="25" t="str"/>
      <x:c r="D113" s="25" t="str"/>
      <x:c r="E113" s="33" t="str"/>
      <x:c r="F113" s="33" t="str"/>
      <x:c r="G113" s="33" t="str"/>
      <x:c r="H113" s="25" t="str"/>
      <x:c r="I113" s="25" t="str"/>
    </x:row>
    <x:row r="114" ht="42" customHeight="1">
      <x:c r="A114" s="25" t="str"/>
      <x:c r="B114" s="25" t="str"/>
      <x:c r="C114" s="25" t="str"/>
      <x:c r="D114" s="25" t="str"/>
      <x:c r="E114" s="33" t="str"/>
      <x:c r="F114" s="33" t="str"/>
      <x:c r="G114" s="33" t="str"/>
      <x:c r="H114" s="25" t="str"/>
      <x:c r="I114" s="25" t="str"/>
    </x:row>
    <x:row r="115" ht="42" customHeight="1">
      <x:c r="A115" s="25" t="str"/>
      <x:c r="B115" s="25" t="str"/>
      <x:c r="C115" s="25" t="str"/>
      <x:c r="D115" s="25" t="str"/>
      <x:c r="E115" s="33" t="str"/>
      <x:c r="F115" s="33" t="str"/>
      <x:c r="G115" s="33" t="str"/>
      <x:c r="H115" s="25" t="str"/>
      <x:c r="I115" s="25" t="str"/>
    </x:row>
    <x:row r="116" ht="42" customHeight="1">
      <x:c r="A116" s="25" t="str"/>
      <x:c r="B116" s="25" t="str"/>
      <x:c r="C116" s="25" t="str"/>
      <x:c r="D116" s="25" t="str"/>
      <x:c r="E116" s="33" t="str"/>
      <x:c r="F116" s="33" t="str"/>
      <x:c r="G116" s="33" t="str"/>
      <x:c r="H116" s="25" t="str"/>
      <x:c r="I116" s="25" t="str"/>
    </x:row>
    <x:row r="117" ht="42" customHeight="1">
      <x:c r="A117" s="25" t="str"/>
      <x:c r="B117" s="25" t="str"/>
      <x:c r="C117" s="25" t="str"/>
      <x:c r="D117" s="25" t="str"/>
      <x:c r="E117" s="33" t="str"/>
      <x:c r="F117" s="33" t="str"/>
      <x:c r="G117" s="33" t="str"/>
      <x:c r="H117" s="25" t="str"/>
      <x:c r="I117" s="25" t="str"/>
    </x:row>
    <x:row r="118" ht="42" customHeight="1">
      <x:c r="A118" s="25" t="str"/>
      <x:c r="B118" s="25" t="str"/>
      <x:c r="C118" s="25" t="str"/>
      <x:c r="D118" s="25" t="str"/>
      <x:c r="E118" s="33" t="str"/>
      <x:c r="F118" s="33" t="str"/>
      <x:c r="G118" s="33" t="str"/>
      <x:c r="H118" s="25" t="str"/>
      <x:c r="I118" s="25" t="str"/>
    </x:row>
    <x:row r="119" ht="42" customHeight="1">
      <x:c r="A119" s="25" t="str"/>
      <x:c r="B119" s="25" t="str"/>
      <x:c r="C119" s="25" t="str"/>
      <x:c r="D119" s="25" t="str"/>
      <x:c r="E119" s="33" t="str"/>
      <x:c r="F119" s="33" t="str"/>
      <x:c r="G119" s="33" t="str"/>
      <x:c r="H119" s="25" t="str"/>
      <x:c r="I119" s="25" t="str"/>
    </x:row>
    <x:row r="120" ht="42" customHeight="1">
      <x:c r="A120" s="25" t="str"/>
      <x:c r="B120" s="25" t="str"/>
      <x:c r="C120" s="25" t="str"/>
      <x:c r="D120" s="25" t="str"/>
      <x:c r="E120" s="33" t="str"/>
      <x:c r="F120" s="33" t="str"/>
      <x:c r="G120" s="33" t="str"/>
      <x:c r="H120" s="25" t="str"/>
      <x:c r="I120" s="25" t="str"/>
    </x:row>
    <x:row r="121" ht="42" customHeight="1">
      <x:c r="A121" s="25" t="str"/>
      <x:c r="B121" s="25" t="str"/>
      <x:c r="C121" s="25" t="str"/>
      <x:c r="D121" s="25" t="str"/>
      <x:c r="E121" s="33" t="str"/>
      <x:c r="F121" s="33" t="str"/>
      <x:c r="G121" s="33" t="str"/>
      <x:c r="H121" s="25" t="str"/>
      <x:c r="I121" s="25" t="str"/>
    </x:row>
    <x:row r="122" ht="42" customHeight="1">
      <x:c r="A122" s="25" t="str"/>
      <x:c r="B122" s="25" t="str"/>
      <x:c r="C122" s="25" t="str"/>
      <x:c r="D122" s="25" t="str"/>
      <x:c r="E122" s="33" t="str"/>
      <x:c r="F122" s="33" t="str"/>
      <x:c r="G122" s="33" t="str"/>
      <x:c r="H122" s="25" t="str"/>
      <x:c r="I122" s="25" t="str"/>
    </x:row>
    <x:row r="123" ht="42" customHeight="1">
      <x:c r="A123" s="25" t="str"/>
      <x:c r="B123" s="25" t="str"/>
      <x:c r="C123" s="25" t="str"/>
      <x:c r="D123" s="25" t="str"/>
      <x:c r="E123" s="33" t="str"/>
      <x:c r="F123" s="33" t="str"/>
      <x:c r="G123" s="33" t="str"/>
      <x:c r="H123" s="25" t="str"/>
      <x:c r="I123" s="25" t="str"/>
    </x:row>
    <x:row r="124" ht="42" customHeight="1">
      <x:c r="A124" s="25" t="str"/>
      <x:c r="B124" s="25" t="str"/>
      <x:c r="C124" s="25" t="str"/>
      <x:c r="D124" s="25" t="str"/>
      <x:c r="E124" s="33" t="str"/>
      <x:c r="F124" s="33" t="str"/>
      <x:c r="G124" s="33" t="str"/>
      <x:c r="H124" s="25" t="str"/>
      <x:c r="I124" s="25" t="str"/>
    </x:row>
    <x:row r="125" ht="42" customHeight="1">
      <x:c r="A125" s="25" t="str"/>
      <x:c r="B125" s="25" t="str"/>
      <x:c r="C125" s="25" t="str"/>
      <x:c r="D125" s="25" t="str"/>
      <x:c r="E125" s="33" t="str"/>
      <x:c r="F125" s="33" t="str"/>
      <x:c r="G125" s="33" t="str"/>
      <x:c r="H125" s="25" t="str"/>
      <x:c r="I125" s="25" t="str"/>
    </x:row>
    <x:row r="126" ht="42" customHeight="1">
      <x:c r="A126" s="25" t="str"/>
      <x:c r="B126" s="25" t="str"/>
      <x:c r="C126" s="25" t="str"/>
      <x:c r="D126" s="25" t="str"/>
      <x:c r="E126" s="33" t="str"/>
      <x:c r="F126" s="33" t="str"/>
      <x:c r="G126" s="33" t="str"/>
      <x:c r="H126" s="25" t="str"/>
      <x:c r="I126" s="25" t="str"/>
    </x:row>
    <x:row r="127" ht="42" customHeight="1">
      <x:c r="A127" s="25" t="str"/>
      <x:c r="B127" s="25" t="str"/>
      <x:c r="C127" s="25" t="str"/>
      <x:c r="D127" s="25" t="str"/>
      <x:c r="E127" s="33" t="str"/>
      <x:c r="F127" s="33" t="str"/>
      <x:c r="G127" s="33" t="str"/>
      <x:c r="H127" s="25" t="str"/>
      <x:c r="I127" s="25" t="str"/>
    </x:row>
    <x:row r="128" ht="42" customHeight="1">
      <x:c r="A128" s="25" t="str"/>
      <x:c r="B128" s="25" t="str"/>
      <x:c r="C128" s="25" t="str"/>
      <x:c r="D128" s="25" t="str"/>
      <x:c r="E128" s="33" t="str"/>
      <x:c r="F128" s="33" t="str"/>
      <x:c r="G128" s="33" t="str"/>
      <x:c r="H128" s="25" t="str"/>
      <x:c r="I128" s="25" t="str"/>
    </x:row>
    <x:row r="129" ht="42" customHeight="1">
      <x:c r="A129" s="25" t="str"/>
      <x:c r="B129" s="25" t="str"/>
      <x:c r="C129" s="25" t="str"/>
      <x:c r="D129" s="25" t="str"/>
      <x:c r="E129" s="33" t="str"/>
      <x:c r="F129" s="33" t="str"/>
      <x:c r="G129" s="33" t="str"/>
      <x:c r="H129" s="25" t="str"/>
      <x:c r="I129" s="25" t="str"/>
    </x:row>
    <x:row r="130" ht="42" customHeight="1">
      <x:c r="A130" s="25" t="str"/>
      <x:c r="B130" s="25" t="str"/>
      <x:c r="C130" s="25" t="str"/>
      <x:c r="D130" s="25" t="str"/>
      <x:c r="E130" s="33" t="str"/>
      <x:c r="F130" s="33" t="str"/>
      <x:c r="G130" s="33" t="str"/>
      <x:c r="H130" s="25" t="str"/>
      <x:c r="I130" s="25" t="str"/>
    </x:row>
    <x:row r="131" ht="42" customHeight="1">
      <x:c r="A131" s="25" t="str"/>
      <x:c r="B131" s="25" t="str"/>
      <x:c r="C131" s="25" t="str"/>
      <x:c r="D131" s="25" t="str"/>
      <x:c r="E131" s="33" t="str"/>
      <x:c r="F131" s="33" t="str"/>
      <x:c r="G131" s="33" t="str"/>
      <x:c r="H131" s="25" t="str"/>
      <x:c r="I131" s="25" t="str"/>
    </x:row>
    <x:row r="132" ht="42" customHeight="1">
      <x:c r="A132" s="25" t="str"/>
      <x:c r="B132" s="25" t="str"/>
      <x:c r="C132" s="25" t="str"/>
      <x:c r="D132" s="25" t="str"/>
      <x:c r="E132" s="33" t="str"/>
      <x:c r="F132" s="33" t="str"/>
      <x:c r="G132" s="33" t="str"/>
      <x:c r="H132" s="25" t="str"/>
      <x:c r="I132" s="25" t="str"/>
    </x:row>
    <x:row r="133" ht="42" customHeight="1">
      <x:c r="A133" s="25" t="str"/>
      <x:c r="B133" s="25" t="str"/>
      <x:c r="C133" s="25" t="str"/>
      <x:c r="D133" s="25" t="str"/>
      <x:c r="E133" s="33" t="str"/>
      <x:c r="F133" s="33" t="str"/>
      <x:c r="G133" s="33" t="str"/>
      <x:c r="H133" s="25" t="str"/>
      <x:c r="I133" s="25" t="str"/>
    </x:row>
    <x:row r="134" ht="42" customHeight="1">
      <x:c r="A134" s="25" t="str"/>
      <x:c r="B134" s="25" t="str"/>
      <x:c r="C134" s="25" t="str"/>
      <x:c r="D134" s="25" t="str"/>
      <x:c r="E134" s="33" t="str"/>
      <x:c r="F134" s="33" t="str"/>
      <x:c r="G134" s="33" t="str"/>
      <x:c r="H134" s="25" t="str"/>
      <x:c r="I134" s="25" t="str"/>
    </x:row>
    <x:row r="135" ht="42" customHeight="1">
      <x:c r="A135" s="25" t="str"/>
      <x:c r="B135" s="25" t="str"/>
      <x:c r="C135" s="25" t="str"/>
      <x:c r="D135" s="25" t="str"/>
      <x:c r="E135" s="33" t="str"/>
      <x:c r="F135" s="33" t="str"/>
      <x:c r="G135" s="33" t="str"/>
      <x:c r="H135" s="25" t="str"/>
      <x:c r="I135" s="25" t="str"/>
    </x:row>
    <x:row r="136" ht="42" customHeight="1">
      <x:c r="A136" s="25" t="str"/>
      <x:c r="B136" s="25" t="str"/>
      <x:c r="C136" s="25" t="str"/>
      <x:c r="D136" s="25" t="str"/>
      <x:c r="E136" s="33" t="str"/>
      <x:c r="F136" s="33" t="str"/>
      <x:c r="G136" s="33" t="str"/>
      <x:c r="H136" s="25" t="str"/>
      <x:c r="I136" s="25" t="str"/>
    </x:row>
    <x:row r="137" ht="42" customHeight="1">
      <x:c r="A137" s="25" t="str"/>
      <x:c r="B137" s="25" t="str"/>
      <x:c r="C137" s="25" t="str"/>
      <x:c r="D137" s="25" t="str"/>
      <x:c r="E137" s="33" t="str"/>
      <x:c r="F137" s="33" t="str"/>
      <x:c r="G137" s="33" t="str"/>
      <x:c r="H137" s="25" t="str"/>
      <x:c r="I137" s="25" t="str"/>
    </x:row>
    <x:row r="138" ht="42" customHeight="1">
      <x:c r="A138" s="25" t="str"/>
      <x:c r="B138" s="25" t="str"/>
      <x:c r="C138" s="25" t="str"/>
      <x:c r="D138" s="25" t="str"/>
      <x:c r="E138" s="33" t="str"/>
      <x:c r="F138" s="33" t="str"/>
      <x:c r="G138" s="33" t="str"/>
      <x:c r="H138" s="25" t="str"/>
      <x:c r="I138" s="25" t="str"/>
    </x:row>
    <x:row r="139" ht="42" customHeight="1">
      <x:c r="A139" s="25" t="str"/>
      <x:c r="B139" s="25" t="str"/>
      <x:c r="C139" s="25" t="str"/>
      <x:c r="D139" s="25" t="str"/>
      <x:c r="E139" s="33" t="str"/>
      <x:c r="F139" s="33" t="str"/>
      <x:c r="G139" s="33" t="str"/>
      <x:c r="H139" s="25" t="str"/>
      <x:c r="I139" s="25" t="str"/>
    </x:row>
    <x:row r="140" ht="42" customHeight="1">
      <x:c r="A140" s="25" t="str"/>
      <x:c r="B140" s="25" t="str"/>
      <x:c r="C140" s="25" t="str"/>
      <x:c r="D140" s="25" t="str"/>
      <x:c r="E140" s="33" t="str"/>
      <x:c r="F140" s="33" t="str"/>
      <x:c r="G140" s="33" t="str"/>
      <x:c r="H140" s="25" t="str"/>
      <x:c r="I140" s="25" t="str"/>
    </x:row>
    <x:row r="141" ht="42" customHeight="1">
      <x:c r="A141" s="25" t="str"/>
      <x:c r="B141" s="25" t="str"/>
      <x:c r="C141" s="25" t="str"/>
      <x:c r="D141" s="25" t="str"/>
      <x:c r="E141" s="33" t="str"/>
      <x:c r="F141" s="33" t="str"/>
      <x:c r="G141" s="33" t="str"/>
      <x:c r="H141" s="25" t="str"/>
      <x:c r="I141" s="25" t="str"/>
    </x:row>
    <x:row r="142" ht="42" customHeight="1">
      <x:c r="A142" s="25" t="str"/>
      <x:c r="B142" s="25" t="str"/>
      <x:c r="C142" s="25" t="str"/>
      <x:c r="D142" s="25" t="str"/>
      <x:c r="E142" s="33" t="str"/>
      <x:c r="F142" s="33" t="str"/>
      <x:c r="G142" s="33" t="str"/>
      <x:c r="H142" s="25" t="str"/>
      <x:c r="I142" s="25" t="str"/>
    </x:row>
    <x:row r="143" ht="42" customHeight="1">
      <x:c r="A143" s="25" t="str"/>
      <x:c r="B143" s="25" t="str"/>
      <x:c r="C143" s="25" t="str"/>
      <x:c r="D143" s="25" t="str"/>
      <x:c r="E143" s="33" t="str"/>
      <x:c r="F143" s="33" t="str"/>
      <x:c r="G143" s="33" t="str"/>
      <x:c r="H143" s="25" t="str"/>
      <x:c r="I143" s="25" t="str"/>
    </x:row>
    <x:row r="144" ht="42" customHeight="1">
      <x:c r="A144" s="25" t="str"/>
      <x:c r="B144" s="25" t="str"/>
      <x:c r="C144" s="25" t="str"/>
      <x:c r="D144" s="25" t="str"/>
      <x:c r="E144" s="33" t="str"/>
      <x:c r="F144" s="33" t="str"/>
      <x:c r="G144" s="33" t="str"/>
      <x:c r="H144" s="25" t="str"/>
      <x:c r="I144" s="25" t="str"/>
    </x:row>
    <x:row r="145" ht="42" customHeight="1">
      <x:c r="A145" s="25" t="str"/>
      <x:c r="B145" s="25" t="str"/>
      <x:c r="C145" s="25" t="str"/>
      <x:c r="D145" s="25" t="str"/>
      <x:c r="E145" s="33" t="str"/>
      <x:c r="F145" s="33" t="str"/>
      <x:c r="G145" s="33" t="str"/>
      <x:c r="H145" s="25" t="str"/>
      <x:c r="I145" s="25" t="str"/>
    </x:row>
    <x:row r="146" ht="42" customHeight="1">
      <x:c r="A146" s="25" t="str"/>
      <x:c r="B146" s="25" t="str"/>
      <x:c r="C146" s="25" t="str"/>
      <x:c r="D146" s="25" t="str"/>
      <x:c r="E146" s="33" t="str"/>
      <x:c r="F146" s="33" t="str"/>
      <x:c r="G146" s="33" t="str"/>
      <x:c r="H146" s="25" t="str"/>
      <x:c r="I146" s="25" t="str"/>
    </x:row>
    <x:row r="147" ht="42" customHeight="1">
      <x:c r="A147" s="25" t="str"/>
      <x:c r="B147" s="25" t="str"/>
      <x:c r="C147" s="25" t="str"/>
      <x:c r="D147" s="25" t="str"/>
      <x:c r="E147" s="33" t="str"/>
      <x:c r="F147" s="33" t="str"/>
      <x:c r="G147" s="33" t="str"/>
      <x:c r="H147" s="25" t="str"/>
      <x:c r="I147" s="25" t="str"/>
    </x:row>
    <x:row r="148" ht="42" customHeight="1">
      <x:c r="A148" s="25" t="str"/>
      <x:c r="B148" s="25" t="str"/>
      <x:c r="C148" s="25" t="str"/>
      <x:c r="D148" s="25" t="str"/>
      <x:c r="E148" s="33" t="str"/>
      <x:c r="F148" s="33" t="str"/>
      <x:c r="G148" s="33" t="str"/>
      <x:c r="H148" s="25" t="str"/>
      <x:c r="I148" s="25" t="str"/>
    </x:row>
    <x:row r="149" ht="42" customHeight="1">
      <x:c r="A149" s="25" t="str"/>
      <x:c r="B149" s="25" t="str"/>
      <x:c r="C149" s="25" t="str"/>
      <x:c r="D149" s="25" t="str"/>
      <x:c r="E149" s="33" t="str"/>
      <x:c r="F149" s="33" t="str"/>
      <x:c r="G149" s="33" t="str"/>
      <x:c r="H149" s="25" t="str"/>
      <x:c r="I149" s="25" t="str"/>
    </x:row>
    <x:row r="150" ht="42" customHeight="1">
      <x:c r="A150" s="25" t="str"/>
      <x:c r="B150" s="25" t="str"/>
      <x:c r="C150" s="25" t="str"/>
      <x:c r="D150" s="25" t="str"/>
      <x:c r="E150" s="33" t="str"/>
      <x:c r="F150" s="33" t="str"/>
      <x:c r="G150" s="33" t="str"/>
      <x:c r="H150" s="25" t="str"/>
      <x:c r="I150" s="25" t="str"/>
    </x:row>
    <x:row r="151" ht="42" customHeight="1">
      <x:c r="A151" s="25" t="str"/>
      <x:c r="B151" s="25" t="str"/>
      <x:c r="C151" s="25" t="str"/>
      <x:c r="D151" s="25" t="str"/>
      <x:c r="E151" s="33" t="str"/>
      <x:c r="F151" s="33" t="str"/>
      <x:c r="G151" s="33" t="str"/>
      <x:c r="H151" s="25" t="str"/>
      <x:c r="I151" s="25" t="str"/>
    </x:row>
    <x:row r="152" ht="42" customHeight="1">
      <x:c r="A152" s="25" t="str"/>
      <x:c r="B152" s="25" t="str"/>
      <x:c r="C152" s="25" t="str"/>
      <x:c r="D152" s="25" t="str"/>
      <x:c r="E152" s="33" t="str"/>
      <x:c r="F152" s="33" t="str"/>
      <x:c r="G152" s="33" t="str"/>
      <x:c r="H152" s="25" t="str"/>
      <x:c r="I152" s="25" t="str"/>
    </x:row>
    <x:row r="153" ht="42" customHeight="1">
      <x:c r="A153" s="25" t="str"/>
      <x:c r="B153" s="25" t="str"/>
      <x:c r="C153" s="25" t="str"/>
      <x:c r="D153" s="25" t="str"/>
      <x:c r="E153" s="33" t="str"/>
      <x:c r="F153" s="33" t="str"/>
      <x:c r="G153" s="33" t="str"/>
      <x:c r="H153" s="25" t="str"/>
      <x:c r="I153" s="25" t="str"/>
    </x:row>
    <x:row r="154" ht="42" customHeight="1">
      <x:c r="A154" s="25" t="str"/>
      <x:c r="B154" s="25" t="str"/>
      <x:c r="C154" s="25" t="str"/>
      <x:c r="D154" s="25" t="str"/>
      <x:c r="E154" s="33" t="str"/>
      <x:c r="F154" s="33" t="str"/>
      <x:c r="G154" s="33" t="str"/>
      <x:c r="H154" s="25" t="str"/>
      <x:c r="I154" s="25" t="str"/>
    </x:row>
    <x:row r="155" ht="42" customHeight="1">
      <x:c r="A155" s="25" t="str"/>
      <x:c r="B155" s="25" t="str"/>
      <x:c r="C155" s="25" t="str"/>
      <x:c r="D155" s="25" t="str"/>
      <x:c r="E155" s="33" t="str"/>
      <x:c r="F155" s="33" t="str"/>
      <x:c r="G155" s="33" t="str"/>
      <x:c r="H155" s="25" t="str"/>
      <x:c r="I155" s="25" t="str"/>
    </x:row>
    <x:row r="156" ht="42" customHeight="1">
      <x:c r="A156" s="25" t="str"/>
      <x:c r="B156" s="25" t="str"/>
      <x:c r="C156" s="25" t="str"/>
      <x:c r="D156" s="25" t="str"/>
      <x:c r="E156" s="33" t="str"/>
      <x:c r="F156" s="33" t="str"/>
      <x:c r="G156" s="33" t="str"/>
      <x:c r="H156" s="25" t="str"/>
      <x:c r="I156" s="25" t="str"/>
    </x:row>
    <x:row r="157" ht="42" customHeight="1">
      <x:c r="A157" s="25" t="str"/>
      <x:c r="B157" s="25" t="str"/>
      <x:c r="C157" s="25" t="str"/>
      <x:c r="D157" s="25" t="str"/>
      <x:c r="E157" s="33" t="str"/>
      <x:c r="F157" s="33" t="str"/>
      <x:c r="G157" s="33" t="str"/>
      <x:c r="H157" s="25" t="str"/>
      <x:c r="I157" s="25" t="str"/>
    </x:row>
    <x:row r="158" ht="42" customHeight="1">
      <x:c r="A158" s="25" t="str"/>
      <x:c r="B158" s="25" t="str"/>
      <x:c r="C158" s="25" t="str"/>
      <x:c r="D158" s="25" t="str"/>
      <x:c r="E158" s="33" t="str"/>
      <x:c r="F158" s="33" t="str"/>
      <x:c r="G158" s="33" t="str"/>
      <x:c r="H158" s="25" t="str"/>
      <x:c r="I158" s="25" t="str"/>
    </x:row>
    <x:row r="159" ht="42" customHeight="1">
      <x:c r="A159" s="25" t="str"/>
      <x:c r="B159" s="25" t="str"/>
      <x:c r="C159" s="25" t="str"/>
      <x:c r="D159" s="25" t="str"/>
      <x:c r="E159" s="33" t="str"/>
      <x:c r="F159" s="33" t="str"/>
      <x:c r="G159" s="33" t="str"/>
      <x:c r="H159" s="25" t="str"/>
      <x:c r="I159" s="25" t="str"/>
    </x:row>
    <x:row r="160" ht="42" customHeight="1">
      <x:c r="A160" s="25" t="str"/>
      <x:c r="B160" s="25" t="str"/>
      <x:c r="C160" s="25" t="str"/>
      <x:c r="D160" s="25" t="str"/>
      <x:c r="E160" s="33" t="str"/>
      <x:c r="F160" s="33" t="str"/>
      <x:c r="G160" s="33" t="str"/>
      <x:c r="H160" s="25" t="str"/>
      <x:c r="I160" s="25" t="str"/>
    </x:row>
    <x:row r="161" ht="42" customHeight="1">
      <x:c r="A161" s="25" t="str"/>
      <x:c r="B161" s="25" t="str"/>
      <x:c r="C161" s="25" t="str"/>
      <x:c r="D161" s="25" t="str"/>
      <x:c r="E161" s="33" t="str"/>
      <x:c r="F161" s="33" t="str"/>
      <x:c r="G161" s="33" t="str"/>
      <x:c r="H161" s="25" t="str"/>
      <x:c r="I161" s="25" t="str"/>
    </x:row>
    <x:row r="162" ht="42" customHeight="1">
      <x:c r="A162" s="25" t="str"/>
      <x:c r="B162" s="25" t="str"/>
      <x:c r="C162" s="25" t="str"/>
      <x:c r="D162" s="25" t="str"/>
      <x:c r="E162" s="33" t="str"/>
      <x:c r="F162" s="33" t="str"/>
      <x:c r="G162" s="33" t="str"/>
      <x:c r="H162" s="25" t="str"/>
      <x:c r="I162" s="25" t="str"/>
    </x:row>
    <x:row r="163" ht="42" customHeight="1">
      <x:c r="A163" s="25" t="str"/>
      <x:c r="B163" s="25" t="str"/>
      <x:c r="C163" s="25" t="str"/>
      <x:c r="D163" s="25" t="str"/>
      <x:c r="E163" s="33" t="str"/>
      <x:c r="F163" s="33" t="str"/>
      <x:c r="G163" s="33" t="str"/>
      <x:c r="H163" s="25" t="str"/>
      <x:c r="I163" s="25" t="str"/>
    </x:row>
    <x:row r="164" ht="42" customHeight="1">
      <x:c r="A164" s="25" t="str"/>
      <x:c r="B164" s="25" t="str"/>
      <x:c r="C164" s="25" t="str"/>
      <x:c r="D164" s="25" t="str"/>
      <x:c r="E164" s="33" t="str"/>
      <x:c r="F164" s="33" t="str"/>
      <x:c r="G164" s="33" t="str"/>
      <x:c r="H164" s="25" t="str"/>
      <x:c r="I164" s="25" t="str"/>
    </x:row>
    <x:row r="165" ht="42" customHeight="1">
      <x:c r="A165" s="25" t="str"/>
      <x:c r="B165" s="25" t="str"/>
      <x:c r="C165" s="25" t="str"/>
      <x:c r="D165" s="25" t="str"/>
      <x:c r="E165" s="33" t="str"/>
      <x:c r="F165" s="33" t="str"/>
      <x:c r="G165" s="33" t="str"/>
      <x:c r="H165" s="25" t="str"/>
      <x:c r="I165" s="25" t="str"/>
    </x:row>
    <x:row r="166" ht="42" customHeight="1">
      <x:c r="A166" s="25" t="str"/>
      <x:c r="B166" s="25" t="str"/>
      <x:c r="C166" s="25" t="str"/>
      <x:c r="D166" s="25" t="str"/>
      <x:c r="E166" s="33" t="str"/>
      <x:c r="F166" s="33" t="str"/>
      <x:c r="G166" s="33" t="str"/>
      <x:c r="H166" s="25" t="str"/>
      <x:c r="I166" s="25" t="str"/>
    </x:row>
    <x:row r="167" ht="42" customHeight="1">
      <x:c r="A167" s="25" t="str"/>
      <x:c r="B167" s="25" t="str"/>
      <x:c r="C167" s="25" t="str"/>
      <x:c r="D167" s="25" t="str"/>
      <x:c r="E167" s="33" t="str"/>
      <x:c r="F167" s="33" t="str"/>
      <x:c r="G167" s="33" t="str"/>
      <x:c r="H167" s="25" t="str"/>
      <x:c r="I167" s="25" t="str"/>
    </x:row>
    <x:row r="168" ht="42" customHeight="1">
      <x:c r="A168" s="25" t="str"/>
      <x:c r="B168" s="25" t="str"/>
      <x:c r="C168" s="25" t="str"/>
      <x:c r="D168" s="25" t="str"/>
      <x:c r="E168" s="33" t="str"/>
      <x:c r="F168" s="33" t="str"/>
      <x:c r="G168" s="33" t="str"/>
      <x:c r="H168" s="25" t="str"/>
      <x:c r="I168" s="25" t="str"/>
    </x:row>
    <x:row r="169" ht="42" customHeight="1">
      <x:c r="A169" s="25" t="str"/>
      <x:c r="B169" s="25" t="str"/>
      <x:c r="C169" s="25" t="str"/>
      <x:c r="D169" s="25" t="str"/>
      <x:c r="E169" s="33" t="str"/>
      <x:c r="F169" s="33" t="str"/>
      <x:c r="G169" s="33" t="str"/>
      <x:c r="H169" s="25" t="str"/>
      <x:c r="I169" s="25" t="str"/>
    </x:row>
    <x:row r="170" ht="42" customHeight="1">
      <x:c r="A170" s="25" t="str"/>
      <x:c r="B170" s="25" t="str"/>
      <x:c r="C170" s="25" t="str"/>
      <x:c r="D170" s="25" t="str"/>
      <x:c r="E170" s="33" t="str"/>
      <x:c r="F170" s="33" t="str"/>
      <x:c r="G170" s="33" t="str"/>
      <x:c r="H170" s="25" t="str"/>
      <x:c r="I170" s="25" t="str"/>
    </x:row>
    <x:row r="171" ht="42" customHeight="1">
      <x:c r="A171" s="25" t="str"/>
      <x:c r="B171" s="25" t="str"/>
      <x:c r="C171" s="25" t="str"/>
      <x:c r="D171" s="25" t="str"/>
      <x:c r="E171" s="33" t="str"/>
      <x:c r="F171" s="33" t="str"/>
      <x:c r="G171" s="33" t="str"/>
      <x:c r="H171" s="25" t="str"/>
      <x:c r="I171" s="25" t="str"/>
    </x:row>
    <x:row r="172" ht="42" customHeight="1">
      <x:c r="A172" s="25" t="str"/>
      <x:c r="B172" s="25" t="str"/>
      <x:c r="C172" s="25" t="str"/>
      <x:c r="D172" s="25" t="str"/>
      <x:c r="E172" s="33" t="str"/>
      <x:c r="F172" s="33" t="str"/>
      <x:c r="G172" s="33" t="str"/>
      <x:c r="H172" s="25" t="str"/>
      <x:c r="I172" s="25" t="str"/>
    </x:row>
    <x:row r="173" ht="42" customHeight="1">
      <x:c r="A173" s="25" t="str"/>
      <x:c r="B173" s="25" t="str"/>
      <x:c r="C173" s="25" t="str"/>
      <x:c r="D173" s="25" t="str"/>
      <x:c r="E173" s="33" t="str"/>
      <x:c r="F173" s="33" t="str"/>
      <x:c r="G173" s="33" t="str"/>
      <x:c r="H173" s="25" t="str"/>
      <x:c r="I173" s="25" t="str"/>
    </x:row>
    <x:row r="174" ht="42" customHeight="1">
      <x:c r="A174" s="25" t="str"/>
      <x:c r="B174" s="25" t="str"/>
      <x:c r="C174" s="25" t="str"/>
      <x:c r="D174" s="25" t="str"/>
      <x:c r="E174" s="33" t="str"/>
      <x:c r="F174" s="33" t="str"/>
      <x:c r="G174" s="33" t="str"/>
      <x:c r="H174" s="25" t="str"/>
      <x:c r="I174" s="25" t="str"/>
    </x:row>
    <x:row r="175" ht="42" customHeight="1">
      <x:c r="A175" s="25" t="str"/>
      <x:c r="B175" s="25" t="str"/>
      <x:c r="C175" s="25" t="str"/>
      <x:c r="D175" s="25" t="str"/>
      <x:c r="E175" s="33" t="str"/>
      <x:c r="F175" s="33" t="str"/>
      <x:c r="G175" s="33" t="str"/>
      <x:c r="H175" s="25" t="str"/>
      <x:c r="I175" s="25" t="str"/>
    </x:row>
    <x:row r="176" ht="42" customHeight="1">
      <x:c r="A176" s="25" t="str"/>
      <x:c r="B176" s="25" t="str"/>
      <x:c r="C176" s="25" t="str"/>
      <x:c r="D176" s="25" t="str"/>
      <x:c r="E176" s="33" t="str"/>
      <x:c r="F176" s="33" t="str"/>
      <x:c r="G176" s="33" t="str"/>
      <x:c r="H176" s="25" t="str"/>
      <x:c r="I176" s="25" t="str"/>
    </x:row>
    <x:row r="177" ht="42" customHeight="1">
      <x:c r="A177" s="25" t="str"/>
      <x:c r="B177" s="25" t="str"/>
      <x:c r="C177" s="25" t="str"/>
      <x:c r="D177" s="25" t="str"/>
      <x:c r="E177" s="33" t="str"/>
      <x:c r="F177" s="33" t="str"/>
      <x:c r="G177" s="33" t="str"/>
      <x:c r="H177" s="25" t="str"/>
      <x:c r="I177" s="25" t="str"/>
    </x:row>
    <x:row r="178" ht="42" customHeight="1">
      <x:c r="A178" s="25" t="str"/>
      <x:c r="B178" s="25" t="str"/>
      <x:c r="C178" s="25" t="str"/>
      <x:c r="D178" s="25" t="str"/>
      <x:c r="E178" s="33" t="str"/>
      <x:c r="F178" s="33" t="str"/>
      <x:c r="G178" s="33" t="str"/>
      <x:c r="H178" s="25" t="str"/>
      <x:c r="I178" s="25" t="str"/>
    </x:row>
    <x:row r="179" ht="42" customHeight="1">
      <x:c r="A179" s="25" t="str"/>
      <x:c r="B179" s="25" t="str"/>
      <x:c r="C179" s="25" t="str"/>
      <x:c r="D179" s="25" t="str"/>
      <x:c r="E179" s="33" t="str"/>
      <x:c r="F179" s="33" t="str"/>
      <x:c r="G179" s="33" t="str"/>
      <x:c r="H179" s="25" t="str"/>
      <x:c r="I179" s="25" t="str"/>
    </x:row>
    <x:row r="180" ht="42" customHeight="1">
      <x:c r="A180" s="25" t="str"/>
      <x:c r="B180" s="25" t="str"/>
      <x:c r="C180" s="25" t="str"/>
      <x:c r="D180" s="25" t="str"/>
      <x:c r="E180" s="33" t="str"/>
      <x:c r="F180" s="33" t="str"/>
      <x:c r="G180" s="33" t="str"/>
      <x:c r="H180" s="25" t="str"/>
      <x:c r="I180" s="25" t="str"/>
    </x:row>
    <x:row r="181" ht="42" customHeight="1">
      <x:c r="A181" s="25" t="str"/>
      <x:c r="B181" s="25" t="str"/>
      <x:c r="C181" s="25" t="str"/>
      <x:c r="D181" s="25" t="str"/>
      <x:c r="E181" s="33" t="str"/>
      <x:c r="F181" s="33" t="str"/>
      <x:c r="G181" s="33" t="str"/>
      <x:c r="H181" s="25" t="str"/>
      <x:c r="I181" s="25" t="str"/>
    </x:row>
    <x:row r="182" ht="42" customHeight="1">
      <x:c r="A182" s="25" t="str"/>
      <x:c r="B182" s="25" t="str"/>
      <x:c r="C182" s="25" t="str"/>
      <x:c r="D182" s="25" t="str"/>
      <x:c r="E182" s="33" t="str"/>
      <x:c r="F182" s="33" t="str"/>
      <x:c r="G182" s="33" t="str"/>
      <x:c r="H182" s="25" t="str"/>
      <x:c r="I182" s="25" t="str"/>
    </x:row>
    <x:row r="183" ht="42" customHeight="1">
      <x:c r="A183" s="25" t="str"/>
      <x:c r="B183" s="25" t="str"/>
      <x:c r="C183" s="25" t="str"/>
      <x:c r="D183" s="25" t="str"/>
      <x:c r="E183" s="33" t="str"/>
      <x:c r="F183" s="33" t="str"/>
      <x:c r="G183" s="33" t="str"/>
      <x:c r="H183" s="25" t="str"/>
      <x:c r="I183" s="25" t="str"/>
    </x:row>
    <x:row r="184" ht="42" customHeight="1">
      <x:c r="A184" s="25" t="str"/>
      <x:c r="B184" s="25" t="str"/>
      <x:c r="C184" s="25" t="str"/>
      <x:c r="D184" s="25" t="str"/>
      <x:c r="E184" s="33" t="str"/>
      <x:c r="F184" s="33" t="str"/>
      <x:c r="G184" s="33" t="str"/>
      <x:c r="H184" s="25" t="str"/>
      <x:c r="I184" s="25" t="str"/>
    </x:row>
    <x:row r="185" ht="42" customHeight="1">
      <x:c r="A185" s="25" t="str"/>
      <x:c r="B185" s="25" t="str"/>
      <x:c r="C185" s="25" t="str"/>
      <x:c r="D185" s="25" t="str"/>
      <x:c r="E185" s="33" t="str"/>
      <x:c r="F185" s="33" t="str"/>
      <x:c r="G185" s="33" t="str"/>
      <x:c r="H185" s="25" t="str"/>
      <x:c r="I185" s="25" t="str"/>
    </x:row>
    <x:row r="186" ht="42" customHeight="1">
      <x:c r="A186" s="25" t="str"/>
      <x:c r="B186" s="25" t="str"/>
      <x:c r="C186" s="25" t="str"/>
      <x:c r="D186" s="25" t="str"/>
      <x:c r="E186" s="33" t="str"/>
      <x:c r="F186" s="33" t="str"/>
      <x:c r="G186" s="33" t="str"/>
      <x:c r="H186" s="25" t="str"/>
      <x:c r="I186" s="25" t="str"/>
    </x:row>
    <x:row r="187" ht="42" customHeight="1">
      <x:c r="A187" s="25" t="str"/>
      <x:c r="B187" s="25" t="str"/>
      <x:c r="C187" s="25" t="str"/>
      <x:c r="D187" s="25" t="str"/>
      <x:c r="E187" s="33" t="str"/>
      <x:c r="F187" s="33" t="str"/>
      <x:c r="G187" s="33" t="str"/>
      <x:c r="H187" s="25" t="str"/>
      <x:c r="I187" s="25" t="str"/>
    </x:row>
    <x:row r="188" ht="42" customHeight="1">
      <x:c r="A188" s="25" t="str"/>
      <x:c r="B188" s="25" t="str"/>
      <x:c r="C188" s="25" t="str"/>
      <x:c r="D188" s="25" t="str"/>
      <x:c r="E188" s="33" t="str"/>
      <x:c r="F188" s="33" t="str"/>
      <x:c r="G188" s="33" t="str"/>
      <x:c r="H188" s="25" t="str"/>
      <x:c r="I188" s="25" t="str"/>
    </x:row>
    <x:row r="189" ht="42" customHeight="1">
      <x:c r="A189" s="25" t="str"/>
      <x:c r="B189" s="25" t="str"/>
      <x:c r="C189" s="25" t="str"/>
      <x:c r="D189" s="25" t="str"/>
      <x:c r="E189" s="33" t="str"/>
      <x:c r="F189" s="33" t="str"/>
      <x:c r="G189" s="33" t="str"/>
      <x:c r="H189" s="25" t="str"/>
      <x:c r="I189" s="25" t="str"/>
    </x:row>
    <x:row r="190" ht="42" customHeight="1">
      <x:c r="A190" s="25" t="str"/>
      <x:c r="B190" s="25" t="str"/>
      <x:c r="C190" s="25" t="str"/>
      <x:c r="D190" s="25" t="str"/>
      <x:c r="E190" s="33" t="str"/>
      <x:c r="F190" s="33" t="str"/>
      <x:c r="G190" s="33" t="str"/>
      <x:c r="H190" s="25" t="str"/>
      <x:c r="I190" s="25" t="str"/>
    </x:row>
    <x:row r="191" ht="42" customHeight="1">
      <x:c r="A191" s="25" t="str"/>
      <x:c r="B191" s="25" t="str"/>
      <x:c r="C191" s="25" t="str"/>
      <x:c r="D191" s="25" t="str"/>
      <x:c r="E191" s="33" t="str"/>
      <x:c r="F191" s="33" t="str"/>
      <x:c r="G191" s="33" t="str"/>
      <x:c r="H191" s="25" t="str"/>
      <x:c r="I191" s="25" t="str"/>
    </x:row>
    <x:row r="192" ht="42" customHeight="1">
      <x:c r="A192" s="25" t="str"/>
      <x:c r="B192" s="25" t="str"/>
      <x:c r="C192" s="25" t="str"/>
      <x:c r="D192" s="25" t="str"/>
      <x:c r="E192" s="33" t="str"/>
      <x:c r="F192" s="33" t="str"/>
      <x:c r="G192" s="33" t="str"/>
      <x:c r="H192" s="25" t="str"/>
      <x:c r="I192" s="25" t="str"/>
    </x:row>
    <x:row r="193" ht="42" customHeight="1">
      <x:c r="A193" s="25" t="str"/>
      <x:c r="B193" s="25" t="str"/>
      <x:c r="C193" s="25" t="str"/>
      <x:c r="D193" s="25" t="str"/>
      <x:c r="E193" s="33" t="str"/>
      <x:c r="F193" s="33" t="str"/>
      <x:c r="G193" s="33" t="str"/>
      <x:c r="H193" s="25" t="str"/>
      <x:c r="I193" s="25" t="str"/>
    </x:row>
    <x:row r="194" ht="42" customHeight="1">
      <x:c r="A194" s="25" t="str"/>
      <x:c r="B194" s="25" t="str"/>
      <x:c r="C194" s="25" t="str"/>
      <x:c r="D194" s="25" t="str"/>
      <x:c r="E194" s="33" t="str"/>
      <x:c r="F194" s="33" t="str"/>
      <x:c r="G194" s="33" t="str"/>
      <x:c r="H194" s="25" t="str"/>
      <x:c r="I194" s="25" t="str"/>
    </x:row>
    <x:row r="195" ht="42" customHeight="1">
      <x:c r="A195" s="25" t="str"/>
      <x:c r="B195" s="25" t="str"/>
      <x:c r="C195" s="25" t="str"/>
      <x:c r="D195" s="25" t="str"/>
      <x:c r="E195" s="33" t="str"/>
      <x:c r="F195" s="33" t="str"/>
      <x:c r="G195" s="33" t="str"/>
      <x:c r="H195" s="25" t="str"/>
      <x:c r="I195" s="25" t="str"/>
    </x:row>
    <x:row r="196" ht="42" customHeight="1">
      <x:c r="A196" s="25" t="str"/>
      <x:c r="B196" s="25" t="str"/>
      <x:c r="C196" s="25" t="str"/>
      <x:c r="D196" s="25" t="str"/>
      <x:c r="E196" s="33" t="str"/>
      <x:c r="F196" s="33" t="str"/>
      <x:c r="G196" s="33" t="str"/>
      <x:c r="H196" s="25" t="str"/>
      <x:c r="I196" s="25" t="str"/>
    </x:row>
    <x:row r="197" ht="42" customHeight="1">
      <x:c r="A197" s="25" t="str"/>
      <x:c r="B197" s="25" t="str"/>
      <x:c r="C197" s="25" t="str"/>
      <x:c r="D197" s="25" t="str"/>
      <x:c r="E197" s="33" t="str"/>
      <x:c r="F197" s="33" t="str"/>
      <x:c r="G197" s="33" t="str"/>
      <x:c r="H197" s="25" t="str"/>
      <x:c r="I197" s="25" t="str"/>
    </x:row>
    <x:row r="198" ht="42" customHeight="1">
      <x:c r="A198" s="25" t="str"/>
      <x:c r="B198" s="25" t="str"/>
      <x:c r="C198" s="25" t="str"/>
      <x:c r="D198" s="25" t="str"/>
      <x:c r="E198" s="33" t="str"/>
      <x:c r="F198" s="33" t="str"/>
      <x:c r="G198" s="33" t="str"/>
      <x:c r="H198" s="25" t="str"/>
      <x:c r="I198" s="25" t="str"/>
    </x:row>
    <x:row r="199" ht="42" customHeight="1">
      <x:c r="A199" s="25" t="str"/>
      <x:c r="B199" s="25" t="str"/>
      <x:c r="C199" s="25" t="str"/>
      <x:c r="D199" s="25" t="str"/>
      <x:c r="E199" s="33" t="str"/>
      <x:c r="F199" s="33" t="str"/>
      <x:c r="G199" s="33" t="str"/>
      <x:c r="H199" s="25" t="str"/>
      <x:c r="I199" s="25" t="str"/>
    </x:row>
    <x:row r="200" ht="42" customHeight="1">
      <x:c r="A200" s="25" t="str"/>
      <x:c r="B200" s="25" t="str"/>
      <x:c r="C200" s="25" t="str"/>
      <x:c r="D200" s="25" t="str"/>
      <x:c r="E200" s="33" t="str"/>
      <x:c r="F200" s="33" t="str"/>
      <x:c r="G200" s="33" t="str"/>
      <x:c r="H200" s="25" t="str"/>
      <x:c r="I200" s="25" t="str"/>
    </x:row>
    <x:row r="201" ht="42" customHeight="1">
      <x:c r="A201" s="25" t="str"/>
      <x:c r="B201" s="25" t="str"/>
      <x:c r="C201" s="25" t="str"/>
      <x:c r="D201" s="25" t="str"/>
      <x:c r="E201" s="33" t="str"/>
      <x:c r="F201" s="33" t="str"/>
      <x:c r="G201" s="33" t="str"/>
      <x:c r="H201" s="25" t="str"/>
      <x:c r="I201" s="25" t="str"/>
    </x:row>
    <x:row r="202" ht="42" customHeight="1">
      <x:c r="A202" s="25" t="str"/>
      <x:c r="B202" s="25" t="str"/>
      <x:c r="C202" s="25" t="str"/>
      <x:c r="D202" s="25" t="str"/>
      <x:c r="E202" s="33" t="str"/>
      <x:c r="F202" s="33" t="str"/>
      <x:c r="G202" s="33" t="str"/>
      <x:c r="H202" s="25" t="str"/>
      <x:c r="I202" s="25" t="str"/>
    </x:row>
    <x:row r="203" ht="42" customHeight="1">
      <x:c r="A203" s="25" t="str"/>
      <x:c r="B203" s="25" t="str"/>
      <x:c r="C203" s="25" t="str"/>
      <x:c r="D203" s="25" t="str"/>
      <x:c r="E203" s="33" t="str"/>
      <x:c r="F203" s="33" t="str"/>
      <x:c r="G203" s="33" t="str"/>
      <x:c r="H203" s="25" t="str"/>
      <x:c r="I203" s="25" t="str"/>
    </x:row>
    <x:row r="204" ht="42" customHeight="1">
      <x:c r="A204" s="25" t="str"/>
      <x:c r="B204" s="25" t="str"/>
      <x:c r="C204" s="25" t="str"/>
      <x:c r="D204" s="25" t="str"/>
      <x:c r="E204" s="33" t="str"/>
      <x:c r="F204" s="33" t="str"/>
      <x:c r="G204" s="33" t="str"/>
      <x:c r="H204" s="25" t="str"/>
      <x:c r="I204" s="25" t="str"/>
    </x:row>
  </x:sheetData>
  <x:mergeCells>
    <x:mergeCell ref="A1:H1"/>
    <x:mergeCell ref="A2:H2"/>
  </x:mergeCells>
  <x:dataValidations count="2">
    <x:dataValidation type="list" sqref="C5:C204">
      <x:formula1>"Report setup,Report care,Site monitor,Toolkit,Other"</x:formula1>
    </x:dataValidation>
    <x:dataValidation type="list" sqref="D5:D204">
      <x:formula1>"Revenue,Operating cost,Refund,Sales tax collected,Tax remitted,Payout transfer"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7d120c2a0b44ec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2" customHeight="1">
      <x:c r="A1" s="3" t="str">
        <x:v>ACTUAL MONTHLY OPERATIONS — EMPTY BY DESIGN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One row per business/month. MRR is gross run rate; new/closed accounts and owner time need deliberate measurement.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Month</x:v>
      </x:c>
      <x:c r="B4" s="28" t="str">
        <x:v>Business</x:v>
      </x:c>
      <x:c r="C4" s="28" t="str">
        <x:v>Closing active customers</x:v>
      </x:c>
      <x:c r="D4" s="28" t="str">
        <x:v>New customers</x:v>
      </x:c>
      <x:c r="E4" s="28" t="str">
        <x:v>Cancelled customers</x:v>
      </x:c>
      <x:c r="F4" s="28" t="str">
        <x:v>Exit MRR CAD</x:v>
      </x:c>
      <x:c r="G4" s="28" t="str">
        <x:v>Qualified prospects</x:v>
      </x:c>
      <x:c r="H4" s="28" t="str">
        <x:v>New paid wins</x:v>
      </x:c>
      <x:c r="I4" s="28" t="str">
        <x:v>Qualified visits</x:v>
      </x:c>
      <x:c r="J4" s="28" t="str">
        <x:v>New licenses</x:v>
      </x:c>
      <x:c r="K4" s="28" t="str">
        <x:v>Failed runs</x:v>
      </x:c>
      <x:c r="L4" s="28" t="str">
        <x:v>Total runs</x:v>
      </x:c>
      <x:c r="M4" s="28" t="str">
        <x:v>Owner hours</x:v>
      </x:c>
      <x:c r="N4" s="28" t="str">
        <x:v>Automated delivery fraction</x:v>
      </x:c>
      <x:c r="O4" s="28" t="str">
        <x:v>Status</x:v>
      </x:c>
      <x:c r="P4" s="28" t="str">
        <x:v>Notes</x:v>
      </x:c>
    </x:row>
    <x:row r="5" ht="42" customHeight="1">
      <x:c r="A5" s="25" t="str"/>
      <x:c r="B5" s="25" t="str"/>
      <x:c r="C5" s="25" t="str"/>
      <x:c r="D5" s="25" t="str"/>
      <x:c r="E5" s="25" t="str"/>
      <x:c r="F5" s="25" t="str"/>
      <x:c r="G5" s="25" t="str"/>
      <x:c r="H5" s="25" t="str"/>
      <x:c r="I5" s="25" t="str"/>
      <x:c r="J5" s="25" t="str"/>
      <x:c r="K5" s="25" t="str"/>
      <x:c r="L5" s="25" t="str"/>
      <x:c r="M5" s="25" t="str"/>
      <x:c r="N5" s="31" t="str"/>
      <x:c r="O5" s="25" t="str"/>
      <x:c r="P5" s="25" t="str"/>
    </x:row>
    <x:row r="6" ht="42" customHeight="1">
      <x:c r="A6" s="25" t="str"/>
      <x:c r="B6" s="25" t="str"/>
      <x:c r="C6" s="25" t="str"/>
      <x:c r="D6" s="25" t="str"/>
      <x:c r="E6" s="25" t="str"/>
      <x:c r="F6" s="25" t="str"/>
      <x:c r="G6" s="25" t="str"/>
      <x:c r="H6" s="25" t="str"/>
      <x:c r="I6" s="25" t="str"/>
      <x:c r="J6" s="25" t="str"/>
      <x:c r="K6" s="25" t="str"/>
      <x:c r="L6" s="25" t="str"/>
      <x:c r="M6" s="25" t="str"/>
      <x:c r="N6" s="31" t="str"/>
      <x:c r="O6" s="25" t="str"/>
      <x:c r="P6" s="25" t="str"/>
    </x:row>
    <x:row r="7" ht="42" customHeight="1">
      <x:c r="A7" s="25" t="str"/>
      <x:c r="B7" s="25" t="str"/>
      <x:c r="C7" s="25" t="str"/>
      <x:c r="D7" s="25" t="str"/>
      <x:c r="E7" s="25" t="str"/>
      <x:c r="F7" s="25" t="str"/>
      <x:c r="G7" s="25" t="str"/>
      <x:c r="H7" s="25" t="str"/>
      <x:c r="I7" s="25" t="str"/>
      <x:c r="J7" s="25" t="str"/>
      <x:c r="K7" s="25" t="str"/>
      <x:c r="L7" s="25" t="str"/>
      <x:c r="M7" s="25" t="str"/>
      <x:c r="N7" s="31" t="str"/>
      <x:c r="O7" s="25" t="str"/>
      <x:c r="P7" s="25" t="str"/>
    </x:row>
    <x:row r="8" ht="42" customHeight="1">
      <x:c r="A8" s="25" t="str"/>
      <x:c r="B8" s="25" t="str"/>
      <x:c r="C8" s="25" t="str"/>
      <x:c r="D8" s="25" t="str"/>
      <x:c r="E8" s="25" t="str"/>
      <x:c r="F8" s="25" t="str"/>
      <x:c r="G8" s="25" t="str"/>
      <x:c r="H8" s="25" t="str"/>
      <x:c r="I8" s="25" t="str"/>
      <x:c r="J8" s="25" t="str"/>
      <x:c r="K8" s="25" t="str"/>
      <x:c r="L8" s="25" t="str"/>
      <x:c r="M8" s="25" t="str"/>
      <x:c r="N8" s="31" t="str"/>
      <x:c r="O8" s="25" t="str"/>
      <x:c r="P8" s="25" t="str"/>
    </x:row>
    <x:row r="9" ht="42" customHeight="1">
      <x:c r="A9" s="25" t="str"/>
      <x:c r="B9" s="25" t="str"/>
      <x:c r="C9" s="25" t="str"/>
      <x:c r="D9" s="25" t="str"/>
      <x:c r="E9" s="25" t="str"/>
      <x:c r="F9" s="25" t="str"/>
      <x:c r="G9" s="25" t="str"/>
      <x:c r="H9" s="25" t="str"/>
      <x:c r="I9" s="25" t="str"/>
      <x:c r="J9" s="25" t="str"/>
      <x:c r="K9" s="25" t="str"/>
      <x:c r="L9" s="25" t="str"/>
      <x:c r="M9" s="25" t="str"/>
      <x:c r="N9" s="31" t="str"/>
      <x:c r="O9" s="25" t="str"/>
      <x:c r="P9" s="25" t="str"/>
    </x:row>
    <x:row r="10" ht="42" customHeight="1">
      <x:c r="A10" s="25" t="str"/>
      <x:c r="B10" s="25" t="str"/>
      <x:c r="C10" s="25" t="str"/>
      <x:c r="D10" s="25" t="str"/>
      <x:c r="E10" s="25" t="str"/>
      <x:c r="F10" s="25" t="str"/>
      <x:c r="G10" s="25" t="str"/>
      <x:c r="H10" s="25" t="str"/>
      <x:c r="I10" s="25" t="str"/>
      <x:c r="J10" s="25" t="str"/>
      <x:c r="K10" s="25" t="str"/>
      <x:c r="L10" s="25" t="str"/>
      <x:c r="M10" s="25" t="str"/>
      <x:c r="N10" s="31" t="str"/>
      <x:c r="O10" s="25" t="str"/>
      <x:c r="P10" s="25" t="str"/>
    </x:row>
    <x:row r="11" ht="42" customHeight="1">
      <x:c r="A11" s="25" t="str"/>
      <x:c r="B11" s="25" t="str"/>
      <x:c r="C11" s="25" t="str"/>
      <x:c r="D11" s="25" t="str"/>
      <x:c r="E11" s="25" t="str"/>
      <x:c r="F11" s="25" t="str"/>
      <x:c r="G11" s="25" t="str"/>
      <x:c r="H11" s="25" t="str"/>
      <x:c r="I11" s="25" t="str"/>
      <x:c r="J11" s="25" t="str"/>
      <x:c r="K11" s="25" t="str"/>
      <x:c r="L11" s="25" t="str"/>
      <x:c r="M11" s="25" t="str"/>
      <x:c r="N11" s="31" t="str"/>
      <x:c r="O11" s="25" t="str"/>
      <x:c r="P11" s="25" t="str"/>
    </x:row>
    <x:row r="12" ht="42" customHeight="1">
      <x:c r="A12" s="25" t="str"/>
      <x:c r="B12" s="25" t="str"/>
      <x:c r="C12" s="25" t="str"/>
      <x:c r="D12" s="25" t="str"/>
      <x:c r="E12" s="25" t="str"/>
      <x:c r="F12" s="25" t="str"/>
      <x:c r="G12" s="25" t="str"/>
      <x:c r="H12" s="25" t="str"/>
      <x:c r="I12" s="25" t="str"/>
      <x:c r="J12" s="25" t="str"/>
      <x:c r="K12" s="25" t="str"/>
      <x:c r="L12" s="25" t="str"/>
      <x:c r="M12" s="25" t="str"/>
      <x:c r="N12" s="31" t="str"/>
      <x:c r="O12" s="25" t="str"/>
      <x:c r="P12" s="25" t="str"/>
    </x:row>
    <x:row r="13" ht="42" customHeight="1">
      <x:c r="A13" s="25" t="str"/>
      <x:c r="B13" s="25" t="str"/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  <x:c r="K13" s="25" t="str"/>
      <x:c r="L13" s="25" t="str"/>
      <x:c r="M13" s="25" t="str"/>
      <x:c r="N13" s="31" t="str"/>
      <x:c r="O13" s="25" t="str"/>
      <x:c r="P13" s="25" t="str"/>
    </x:row>
    <x:row r="14" ht="42" customHeight="1">
      <x:c r="A14" s="25" t="str"/>
      <x:c r="B14" s="25" t="str"/>
      <x:c r="C14" s="25" t="str"/>
      <x:c r="D14" s="25" t="str"/>
      <x:c r="E14" s="25" t="str"/>
      <x:c r="F14" s="25" t="str"/>
      <x:c r="G14" s="25" t="str"/>
      <x:c r="H14" s="25" t="str"/>
      <x:c r="I14" s="25" t="str"/>
      <x:c r="J14" s="25" t="str"/>
      <x:c r="K14" s="25" t="str"/>
      <x:c r="L14" s="25" t="str"/>
      <x:c r="M14" s="25" t="str"/>
      <x:c r="N14" s="31" t="str"/>
      <x:c r="O14" s="25" t="str"/>
      <x:c r="P14" s="25" t="str"/>
    </x:row>
    <x:row r="15" ht="42" customHeight="1">
      <x:c r="A15" s="25" t="str"/>
      <x:c r="B15" s="25" t="str"/>
      <x:c r="C15" s="25" t="str"/>
      <x:c r="D15" s="25" t="str"/>
      <x:c r="E15" s="25" t="str"/>
      <x:c r="F15" s="25" t="str"/>
      <x:c r="G15" s="25" t="str"/>
      <x:c r="H15" s="25" t="str"/>
      <x:c r="I15" s="25" t="str"/>
      <x:c r="J15" s="25" t="str"/>
      <x:c r="K15" s="25" t="str"/>
      <x:c r="L15" s="25" t="str"/>
      <x:c r="M15" s="25" t="str"/>
      <x:c r="N15" s="31" t="str"/>
      <x:c r="O15" s="25" t="str"/>
      <x:c r="P15" s="25" t="str"/>
    </x:row>
    <x:row r="16" ht="42" customHeight="1">
      <x:c r="A16" s="25" t="str"/>
      <x:c r="B16" s="25" t="str"/>
      <x:c r="C16" s="25" t="str"/>
      <x:c r="D16" s="25" t="str"/>
      <x:c r="E16" s="25" t="str"/>
      <x:c r="F16" s="25" t="str"/>
      <x:c r="G16" s="25" t="str"/>
      <x:c r="H16" s="25" t="str"/>
      <x:c r="I16" s="25" t="str"/>
      <x:c r="J16" s="25" t="str"/>
      <x:c r="K16" s="25" t="str"/>
      <x:c r="L16" s="25" t="str"/>
      <x:c r="M16" s="25" t="str"/>
      <x:c r="N16" s="31" t="str"/>
      <x:c r="O16" s="25" t="str"/>
      <x:c r="P16" s="25" t="str"/>
    </x:row>
    <x:row r="17" ht="42" customHeight="1">
      <x:c r="A17" s="25" t="str"/>
      <x:c r="B17" s="25" t="str"/>
      <x:c r="C17" s="25" t="str"/>
      <x:c r="D17" s="25" t="str"/>
      <x:c r="E17" s="25" t="str"/>
      <x:c r="F17" s="25" t="str"/>
      <x:c r="G17" s="25" t="str"/>
      <x:c r="H17" s="25" t="str"/>
      <x:c r="I17" s="25" t="str"/>
      <x:c r="J17" s="25" t="str"/>
      <x:c r="K17" s="25" t="str"/>
      <x:c r="L17" s="25" t="str"/>
      <x:c r="M17" s="25" t="str"/>
      <x:c r="N17" s="31" t="str"/>
      <x:c r="O17" s="25" t="str"/>
      <x:c r="P17" s="25" t="str"/>
    </x:row>
    <x:row r="18" ht="42" customHeight="1">
      <x:c r="A18" s="25" t="str"/>
      <x:c r="B18" s="25" t="str"/>
      <x:c r="C18" s="25" t="str"/>
      <x:c r="D18" s="25" t="str"/>
      <x:c r="E18" s="25" t="str"/>
      <x:c r="F18" s="25" t="str"/>
      <x:c r="G18" s="25" t="str"/>
      <x:c r="H18" s="25" t="str"/>
      <x:c r="I18" s="25" t="str"/>
      <x:c r="J18" s="25" t="str"/>
      <x:c r="K18" s="25" t="str"/>
      <x:c r="L18" s="25" t="str"/>
      <x:c r="M18" s="25" t="str"/>
      <x:c r="N18" s="31" t="str"/>
      <x:c r="O18" s="25" t="str"/>
      <x:c r="P18" s="25" t="str"/>
    </x:row>
    <x:row r="19" ht="42" customHeight="1">
      <x:c r="A19" s="25" t="str"/>
      <x:c r="B19" s="25" t="str"/>
      <x:c r="C19" s="25" t="str"/>
      <x:c r="D19" s="25" t="str"/>
      <x:c r="E19" s="25" t="str"/>
      <x:c r="F19" s="25" t="str"/>
      <x:c r="G19" s="25" t="str"/>
      <x:c r="H19" s="25" t="str"/>
      <x:c r="I19" s="25" t="str"/>
      <x:c r="J19" s="25" t="str"/>
      <x:c r="K19" s="25" t="str"/>
      <x:c r="L19" s="25" t="str"/>
      <x:c r="M19" s="25" t="str"/>
      <x:c r="N19" s="31" t="str"/>
      <x:c r="O19" s="25" t="str"/>
      <x:c r="P19" s="25" t="str"/>
    </x:row>
    <x:row r="20" ht="42" customHeight="1">
      <x:c r="A20" s="25" t="str"/>
      <x:c r="B20" s="25" t="str"/>
      <x:c r="C20" s="25" t="str"/>
      <x:c r="D20" s="25" t="str"/>
      <x:c r="E20" s="25" t="str"/>
      <x:c r="F20" s="25" t="str"/>
      <x:c r="G20" s="25" t="str"/>
      <x:c r="H20" s="25" t="str"/>
      <x:c r="I20" s="25" t="str"/>
      <x:c r="J20" s="25" t="str"/>
      <x:c r="K20" s="25" t="str"/>
      <x:c r="L20" s="25" t="str"/>
      <x:c r="M20" s="25" t="str"/>
      <x:c r="N20" s="31" t="str"/>
      <x:c r="O20" s="25" t="str"/>
      <x:c r="P20" s="25" t="str"/>
    </x:row>
    <x:row r="21" ht="42" customHeight="1">
      <x:c r="A21" s="25" t="str"/>
      <x:c r="B21" s="25" t="str"/>
      <x:c r="C21" s="25" t="str"/>
      <x:c r="D21" s="25" t="str"/>
      <x:c r="E21" s="25" t="str"/>
      <x:c r="F21" s="25" t="str"/>
      <x:c r="G21" s="25" t="str"/>
      <x:c r="H21" s="25" t="str"/>
      <x:c r="I21" s="25" t="str"/>
      <x:c r="J21" s="25" t="str"/>
      <x:c r="K21" s="25" t="str"/>
      <x:c r="L21" s="25" t="str"/>
      <x:c r="M21" s="25" t="str"/>
      <x:c r="N21" s="31" t="str"/>
      <x:c r="O21" s="25" t="str"/>
      <x:c r="P21" s="25" t="str"/>
    </x:row>
    <x:row r="22" ht="42" customHeight="1">
      <x:c r="A22" s="25" t="str"/>
      <x:c r="B22" s="25" t="str"/>
      <x:c r="C22" s="25" t="str"/>
      <x:c r="D22" s="25" t="str"/>
      <x:c r="E22" s="25" t="str"/>
      <x:c r="F22" s="25" t="str"/>
      <x:c r="G22" s="25" t="str"/>
      <x:c r="H22" s="25" t="str"/>
      <x:c r="I22" s="25" t="str"/>
      <x:c r="J22" s="25" t="str"/>
      <x:c r="K22" s="25" t="str"/>
      <x:c r="L22" s="25" t="str"/>
      <x:c r="M22" s="25" t="str"/>
      <x:c r="N22" s="31" t="str"/>
      <x:c r="O22" s="25" t="str"/>
      <x:c r="P22" s="25" t="str"/>
    </x:row>
    <x:row r="23" ht="42" customHeight="1">
      <x:c r="A23" s="25" t="str"/>
      <x:c r="B23" s="25" t="str"/>
      <x:c r="C23" s="25" t="str"/>
      <x:c r="D23" s="25" t="str"/>
      <x:c r="E23" s="25" t="str"/>
      <x:c r="F23" s="25" t="str"/>
      <x:c r="G23" s="25" t="str"/>
      <x:c r="H23" s="25" t="str"/>
      <x:c r="I23" s="25" t="str"/>
      <x:c r="J23" s="25" t="str"/>
      <x:c r="K23" s="25" t="str"/>
      <x:c r="L23" s="25" t="str"/>
      <x:c r="M23" s="25" t="str"/>
      <x:c r="N23" s="31" t="str"/>
      <x:c r="O23" s="25" t="str"/>
      <x:c r="P23" s="25" t="str"/>
    </x:row>
    <x:row r="24" ht="42" customHeight="1">
      <x:c r="A24" s="25" t="str"/>
      <x:c r="B24" s="25" t="str"/>
      <x:c r="C24" s="25" t="str"/>
      <x:c r="D24" s="25" t="str"/>
      <x:c r="E24" s="25" t="str"/>
      <x:c r="F24" s="25" t="str"/>
      <x:c r="G24" s="25" t="str"/>
      <x:c r="H24" s="25" t="str"/>
      <x:c r="I24" s="25" t="str"/>
      <x:c r="J24" s="25" t="str"/>
      <x:c r="K24" s="25" t="str"/>
      <x:c r="L24" s="25" t="str"/>
      <x:c r="M24" s="25" t="str"/>
      <x:c r="N24" s="31" t="str"/>
      <x:c r="O24" s="25" t="str"/>
      <x:c r="P24" s="25" t="str"/>
    </x:row>
    <x:row r="25" ht="42" customHeight="1">
      <x:c r="A25" s="25" t="str"/>
      <x:c r="B25" s="25" t="str"/>
      <x:c r="C25" s="25" t="str"/>
      <x:c r="D25" s="25" t="str"/>
      <x:c r="E25" s="25" t="str"/>
      <x:c r="F25" s="25" t="str"/>
      <x:c r="G25" s="25" t="str"/>
      <x:c r="H25" s="25" t="str"/>
      <x:c r="I25" s="25" t="str"/>
      <x:c r="J25" s="25" t="str"/>
      <x:c r="K25" s="25" t="str"/>
      <x:c r="L25" s="25" t="str"/>
      <x:c r="M25" s="25" t="str"/>
      <x:c r="N25" s="31" t="str"/>
      <x:c r="O25" s="25" t="str"/>
      <x:c r="P25" s="25" t="str"/>
    </x:row>
    <x:row r="26" ht="42" customHeight="1">
      <x:c r="A26" s="25" t="str"/>
      <x:c r="B26" s="25" t="str"/>
      <x:c r="C26" s="25" t="str"/>
      <x:c r="D26" s="25" t="str"/>
      <x:c r="E26" s="25" t="str"/>
      <x:c r="F26" s="25" t="str"/>
      <x:c r="G26" s="25" t="str"/>
      <x:c r="H26" s="25" t="str"/>
      <x:c r="I26" s="25" t="str"/>
      <x:c r="J26" s="25" t="str"/>
      <x:c r="K26" s="25" t="str"/>
      <x:c r="L26" s="25" t="str"/>
      <x:c r="M26" s="25" t="str"/>
      <x:c r="N26" s="31" t="str"/>
      <x:c r="O26" s="25" t="str"/>
      <x:c r="P26" s="25" t="str"/>
    </x:row>
    <x:row r="27" ht="42" customHeight="1">
      <x:c r="A27" s="25" t="str"/>
      <x:c r="B27" s="25" t="str"/>
      <x:c r="C27" s="25" t="str"/>
      <x:c r="D27" s="25" t="str"/>
      <x:c r="E27" s="25" t="str"/>
      <x:c r="F27" s="25" t="str"/>
      <x:c r="G27" s="25" t="str"/>
      <x:c r="H27" s="25" t="str"/>
      <x:c r="I27" s="25" t="str"/>
      <x:c r="J27" s="25" t="str"/>
      <x:c r="K27" s="25" t="str"/>
      <x:c r="L27" s="25" t="str"/>
      <x:c r="M27" s="25" t="str"/>
      <x:c r="N27" s="31" t="str"/>
      <x:c r="O27" s="25" t="str"/>
      <x:c r="P27" s="25" t="str"/>
    </x:row>
    <x:row r="28" ht="42" customHeight="1">
      <x:c r="A28" s="25" t="str"/>
      <x:c r="B28" s="25" t="str"/>
      <x:c r="C28" s="25" t="str"/>
      <x:c r="D28" s="25" t="str"/>
      <x:c r="E28" s="25" t="str"/>
      <x:c r="F28" s="25" t="str"/>
      <x:c r="G28" s="25" t="str"/>
      <x:c r="H28" s="25" t="str"/>
      <x:c r="I28" s="25" t="str"/>
      <x:c r="J28" s="25" t="str"/>
      <x:c r="K28" s="25" t="str"/>
      <x:c r="L28" s="25" t="str"/>
      <x:c r="M28" s="25" t="str"/>
      <x:c r="N28" s="31" t="str"/>
      <x:c r="O28" s="25" t="str"/>
      <x:c r="P28" s="25" t="str"/>
    </x:row>
    <x:row r="29" ht="42" customHeight="1">
      <x:c r="A29" s="25" t="str"/>
      <x:c r="B29" s="25" t="str"/>
      <x:c r="C29" s="25" t="str"/>
      <x:c r="D29" s="25" t="str"/>
      <x:c r="E29" s="25" t="str"/>
      <x:c r="F29" s="25" t="str"/>
      <x:c r="G29" s="25" t="str"/>
      <x:c r="H29" s="25" t="str"/>
      <x:c r="I29" s="25" t="str"/>
      <x:c r="J29" s="25" t="str"/>
      <x:c r="K29" s="25" t="str"/>
      <x:c r="L29" s="25" t="str"/>
      <x:c r="M29" s="25" t="str"/>
      <x:c r="N29" s="31" t="str"/>
      <x:c r="O29" s="25" t="str"/>
      <x:c r="P29" s="25" t="str"/>
    </x:row>
    <x:row r="30" ht="42" customHeight="1">
      <x:c r="A30" s="25" t="str"/>
      <x:c r="B30" s="25" t="str"/>
      <x:c r="C30" s="25" t="str"/>
      <x:c r="D30" s="25" t="str"/>
      <x:c r="E30" s="25" t="str"/>
      <x:c r="F30" s="25" t="str"/>
      <x:c r="G30" s="25" t="str"/>
      <x:c r="H30" s="25" t="str"/>
      <x:c r="I30" s="25" t="str"/>
      <x:c r="J30" s="25" t="str"/>
      <x:c r="K30" s="25" t="str"/>
      <x:c r="L30" s="25" t="str"/>
      <x:c r="M30" s="25" t="str"/>
      <x:c r="N30" s="31" t="str"/>
      <x:c r="O30" s="25" t="str"/>
      <x:c r="P30" s="25" t="str"/>
    </x:row>
    <x:row r="31" ht="42" customHeight="1">
      <x:c r="A31" s="25" t="str"/>
      <x:c r="B31" s="25" t="str"/>
      <x:c r="C31" s="25" t="str"/>
      <x:c r="D31" s="25" t="str"/>
      <x:c r="E31" s="25" t="str"/>
      <x:c r="F31" s="25" t="str"/>
      <x:c r="G31" s="25" t="str"/>
      <x:c r="H31" s="25" t="str"/>
      <x:c r="I31" s="25" t="str"/>
      <x:c r="J31" s="25" t="str"/>
      <x:c r="K31" s="25" t="str"/>
      <x:c r="L31" s="25" t="str"/>
      <x:c r="M31" s="25" t="str"/>
      <x:c r="N31" s="31" t="str"/>
      <x:c r="O31" s="25" t="str"/>
      <x:c r="P31" s="25" t="str"/>
    </x:row>
    <x:row r="32" ht="42" customHeight="1">
      <x:c r="A32" s="25" t="str"/>
      <x:c r="B32" s="25" t="str"/>
      <x:c r="C32" s="25" t="str"/>
      <x:c r="D32" s="25" t="str"/>
      <x:c r="E32" s="25" t="str"/>
      <x:c r="F32" s="25" t="str"/>
      <x:c r="G32" s="25" t="str"/>
      <x:c r="H32" s="25" t="str"/>
      <x:c r="I32" s="25" t="str"/>
      <x:c r="J32" s="25" t="str"/>
      <x:c r="K32" s="25" t="str"/>
      <x:c r="L32" s="25" t="str"/>
      <x:c r="M32" s="25" t="str"/>
      <x:c r="N32" s="31" t="str"/>
      <x:c r="O32" s="25" t="str"/>
      <x:c r="P32" s="25" t="str"/>
    </x:row>
    <x:row r="33" ht="42" customHeight="1">
      <x:c r="A33" s="25" t="str"/>
      <x:c r="B33" s="25" t="str"/>
      <x:c r="C33" s="25" t="str"/>
      <x:c r="D33" s="25" t="str"/>
      <x:c r="E33" s="25" t="str"/>
      <x:c r="F33" s="25" t="str"/>
      <x:c r="G33" s="25" t="str"/>
      <x:c r="H33" s="25" t="str"/>
      <x:c r="I33" s="25" t="str"/>
      <x:c r="J33" s="25" t="str"/>
      <x:c r="K33" s="25" t="str"/>
      <x:c r="L33" s="25" t="str"/>
      <x:c r="M33" s="25" t="str"/>
      <x:c r="N33" s="31" t="str"/>
      <x:c r="O33" s="25" t="str"/>
      <x:c r="P33" s="25" t="str"/>
    </x:row>
    <x:row r="34" ht="42" customHeight="1">
      <x:c r="A34" s="25" t="str"/>
      <x:c r="B34" s="25" t="str"/>
      <x:c r="C34" s="25" t="str"/>
      <x:c r="D34" s="25" t="str"/>
      <x:c r="E34" s="25" t="str"/>
      <x:c r="F34" s="25" t="str"/>
      <x:c r="G34" s="25" t="str"/>
      <x:c r="H34" s="25" t="str"/>
      <x:c r="I34" s="25" t="str"/>
      <x:c r="J34" s="25" t="str"/>
      <x:c r="K34" s="25" t="str"/>
      <x:c r="L34" s="25" t="str"/>
      <x:c r="M34" s="25" t="str"/>
      <x:c r="N34" s="31" t="str"/>
      <x:c r="O34" s="25" t="str"/>
      <x:c r="P34" s="25" t="str"/>
    </x:row>
    <x:row r="35" ht="42" customHeight="1">
      <x:c r="A35" s="25" t="str"/>
      <x:c r="B35" s="25" t="str"/>
      <x:c r="C35" s="25" t="str"/>
      <x:c r="D35" s="25" t="str"/>
      <x:c r="E35" s="25" t="str"/>
      <x:c r="F35" s="25" t="str"/>
      <x:c r="G35" s="25" t="str"/>
      <x:c r="H35" s="25" t="str"/>
      <x:c r="I35" s="25" t="str"/>
      <x:c r="J35" s="25" t="str"/>
      <x:c r="K35" s="25" t="str"/>
      <x:c r="L35" s="25" t="str"/>
      <x:c r="M35" s="25" t="str"/>
      <x:c r="N35" s="31" t="str"/>
      <x:c r="O35" s="25" t="str"/>
      <x:c r="P35" s="25" t="str"/>
    </x:row>
    <x:row r="36" ht="42" customHeight="1">
      <x:c r="A36" s="25" t="str"/>
      <x:c r="B36" s="25" t="str"/>
      <x:c r="C36" s="25" t="str"/>
      <x:c r="D36" s="25" t="str"/>
      <x:c r="E36" s="25" t="str"/>
      <x:c r="F36" s="25" t="str"/>
      <x:c r="G36" s="25" t="str"/>
      <x:c r="H36" s="25" t="str"/>
      <x:c r="I36" s="25" t="str"/>
      <x:c r="J36" s="25" t="str"/>
      <x:c r="K36" s="25" t="str"/>
      <x:c r="L36" s="25" t="str"/>
      <x:c r="M36" s="25" t="str"/>
      <x:c r="N36" s="31" t="str"/>
      <x:c r="O36" s="25" t="str"/>
      <x:c r="P36" s="25" t="str"/>
    </x:row>
    <x:row r="37" ht="42" customHeight="1">
      <x:c r="A37" s="25" t="str"/>
      <x:c r="B37" s="25" t="str"/>
      <x:c r="C37" s="25" t="str"/>
      <x:c r="D37" s="25" t="str"/>
      <x:c r="E37" s="25" t="str"/>
      <x:c r="F37" s="25" t="str"/>
      <x:c r="G37" s="25" t="str"/>
      <x:c r="H37" s="25" t="str"/>
      <x:c r="I37" s="25" t="str"/>
      <x:c r="J37" s="25" t="str"/>
      <x:c r="K37" s="25" t="str"/>
      <x:c r="L37" s="25" t="str"/>
      <x:c r="M37" s="25" t="str"/>
      <x:c r="N37" s="31" t="str"/>
      <x:c r="O37" s="25" t="str"/>
      <x:c r="P37" s="25" t="str"/>
    </x:row>
    <x:row r="38" ht="42" customHeight="1">
      <x:c r="A38" s="25" t="str"/>
      <x:c r="B38" s="25" t="str"/>
      <x:c r="C38" s="25" t="str"/>
      <x:c r="D38" s="25" t="str"/>
      <x:c r="E38" s="25" t="str"/>
      <x:c r="F38" s="25" t="str"/>
      <x:c r="G38" s="25" t="str"/>
      <x:c r="H38" s="25" t="str"/>
      <x:c r="I38" s="25" t="str"/>
      <x:c r="J38" s="25" t="str"/>
      <x:c r="K38" s="25" t="str"/>
      <x:c r="L38" s="25" t="str"/>
      <x:c r="M38" s="25" t="str"/>
      <x:c r="N38" s="31" t="str"/>
      <x:c r="O38" s="25" t="str"/>
      <x:c r="P38" s="25" t="str"/>
    </x:row>
    <x:row r="39" ht="42" customHeight="1">
      <x:c r="A39" s="25" t="str"/>
      <x:c r="B39" s="25" t="str"/>
      <x:c r="C39" s="25" t="str"/>
      <x:c r="D39" s="25" t="str"/>
      <x:c r="E39" s="25" t="str"/>
      <x:c r="F39" s="25" t="str"/>
      <x:c r="G39" s="25" t="str"/>
      <x:c r="H39" s="25" t="str"/>
      <x:c r="I39" s="25" t="str"/>
      <x:c r="J39" s="25" t="str"/>
      <x:c r="K39" s="25" t="str"/>
      <x:c r="L39" s="25" t="str"/>
      <x:c r="M39" s="25" t="str"/>
      <x:c r="N39" s="31" t="str"/>
      <x:c r="O39" s="25" t="str"/>
      <x:c r="P39" s="25" t="str"/>
    </x:row>
    <x:row r="40" ht="42" customHeight="1">
      <x:c r="A40" s="25" t="str"/>
      <x:c r="B40" s="25" t="str"/>
      <x:c r="C40" s="25" t="str"/>
      <x:c r="D40" s="25" t="str"/>
      <x:c r="E40" s="25" t="str"/>
      <x:c r="F40" s="25" t="str"/>
      <x:c r="G40" s="25" t="str"/>
      <x:c r="H40" s="25" t="str"/>
      <x:c r="I40" s="25" t="str"/>
      <x:c r="J40" s="25" t="str"/>
      <x:c r="K40" s="25" t="str"/>
      <x:c r="L40" s="25" t="str"/>
      <x:c r="M40" s="25" t="str"/>
      <x:c r="N40" s="31" t="str"/>
      <x:c r="O40" s="25" t="str"/>
      <x:c r="P40" s="25" t="str"/>
    </x:row>
    <x:row r="41" ht="42" customHeight="1">
      <x:c r="A41" s="25" t="str"/>
      <x:c r="B41" s="25" t="str"/>
      <x:c r="C41" s="25" t="str"/>
      <x:c r="D41" s="25" t="str"/>
      <x:c r="E41" s="25" t="str"/>
      <x:c r="F41" s="25" t="str"/>
      <x:c r="G41" s="25" t="str"/>
      <x:c r="H41" s="25" t="str"/>
      <x:c r="I41" s="25" t="str"/>
      <x:c r="J41" s="25" t="str"/>
      <x:c r="K41" s="25" t="str"/>
      <x:c r="L41" s="25" t="str"/>
      <x:c r="M41" s="25" t="str"/>
      <x:c r="N41" s="31" t="str"/>
      <x:c r="O41" s="25" t="str"/>
      <x:c r="P41" s="25" t="str"/>
    </x:row>
    <x:row r="42" ht="42" customHeight="1">
      <x:c r="A42" s="25" t="str"/>
      <x:c r="B42" s="25" t="str"/>
      <x:c r="C42" s="25" t="str"/>
      <x:c r="D42" s="25" t="str"/>
      <x:c r="E42" s="25" t="str"/>
      <x:c r="F42" s="25" t="str"/>
      <x:c r="G42" s="25" t="str"/>
      <x:c r="H42" s="25" t="str"/>
      <x:c r="I42" s="25" t="str"/>
      <x:c r="J42" s="25" t="str"/>
      <x:c r="K42" s="25" t="str"/>
      <x:c r="L42" s="25" t="str"/>
      <x:c r="M42" s="25" t="str"/>
      <x:c r="N42" s="31" t="str"/>
      <x:c r="O42" s="25" t="str"/>
      <x:c r="P42" s="25" t="str"/>
    </x:row>
    <x:row r="43" ht="42" customHeight="1">
      <x:c r="A43" s="25" t="str"/>
      <x:c r="B43" s="25" t="str"/>
      <x:c r="C43" s="25" t="str"/>
      <x:c r="D43" s="25" t="str"/>
      <x:c r="E43" s="25" t="str"/>
      <x:c r="F43" s="25" t="str"/>
      <x:c r="G43" s="25" t="str"/>
      <x:c r="H43" s="25" t="str"/>
      <x:c r="I43" s="25" t="str"/>
      <x:c r="J43" s="25" t="str"/>
      <x:c r="K43" s="25" t="str"/>
      <x:c r="L43" s="25" t="str"/>
      <x:c r="M43" s="25" t="str"/>
      <x:c r="N43" s="31" t="str"/>
      <x:c r="O43" s="25" t="str"/>
      <x:c r="P43" s="25" t="str"/>
    </x:row>
    <x:row r="44" ht="42" customHeight="1">
      <x:c r="A44" s="25" t="str"/>
      <x:c r="B44" s="25" t="str"/>
      <x:c r="C44" s="25" t="str"/>
      <x:c r="D44" s="25" t="str"/>
      <x:c r="E44" s="25" t="str"/>
      <x:c r="F44" s="25" t="str"/>
      <x:c r="G44" s="25" t="str"/>
      <x:c r="H44" s="25" t="str"/>
      <x:c r="I44" s="25" t="str"/>
      <x:c r="J44" s="25" t="str"/>
      <x:c r="K44" s="25" t="str"/>
      <x:c r="L44" s="25" t="str"/>
      <x:c r="M44" s="25" t="str"/>
      <x:c r="N44" s="31" t="str"/>
      <x:c r="O44" s="25" t="str"/>
      <x:c r="P44" s="25" t="str"/>
    </x:row>
    <x:row r="45" ht="42" customHeight="1">
      <x:c r="A45" s="25" t="str"/>
      <x:c r="B45" s="25" t="str"/>
      <x:c r="C45" s="25" t="str"/>
      <x:c r="D45" s="25" t="str"/>
      <x:c r="E45" s="25" t="str"/>
      <x:c r="F45" s="25" t="str"/>
      <x:c r="G45" s="25" t="str"/>
      <x:c r="H45" s="25" t="str"/>
      <x:c r="I45" s="25" t="str"/>
      <x:c r="J45" s="25" t="str"/>
      <x:c r="K45" s="25" t="str"/>
      <x:c r="L45" s="25" t="str"/>
      <x:c r="M45" s="25" t="str"/>
      <x:c r="N45" s="31" t="str"/>
      <x:c r="O45" s="25" t="str"/>
      <x:c r="P45" s="25" t="str"/>
    </x:row>
    <x:row r="46" ht="42" customHeight="1">
      <x:c r="A46" s="25" t="str"/>
      <x:c r="B46" s="25" t="str"/>
      <x:c r="C46" s="25" t="str"/>
      <x:c r="D46" s="25" t="str"/>
      <x:c r="E46" s="25" t="str"/>
      <x:c r="F46" s="25" t="str"/>
      <x:c r="G46" s="25" t="str"/>
      <x:c r="H46" s="25" t="str"/>
      <x:c r="I46" s="25" t="str"/>
      <x:c r="J46" s="25" t="str"/>
      <x:c r="K46" s="25" t="str"/>
      <x:c r="L46" s="25" t="str"/>
      <x:c r="M46" s="25" t="str"/>
      <x:c r="N46" s="31" t="str"/>
      <x:c r="O46" s="25" t="str"/>
      <x:c r="P46" s="25" t="str"/>
    </x:row>
    <x:row r="47" ht="42" customHeight="1">
      <x:c r="A47" s="25" t="str"/>
      <x:c r="B47" s="25" t="str"/>
      <x:c r="C47" s="25" t="str"/>
      <x:c r="D47" s="25" t="str"/>
      <x:c r="E47" s="25" t="str"/>
      <x:c r="F47" s="25" t="str"/>
      <x:c r="G47" s="25" t="str"/>
      <x:c r="H47" s="25" t="str"/>
      <x:c r="I47" s="25" t="str"/>
      <x:c r="J47" s="25" t="str"/>
      <x:c r="K47" s="25" t="str"/>
      <x:c r="L47" s="25" t="str"/>
      <x:c r="M47" s="25" t="str"/>
      <x:c r="N47" s="31" t="str"/>
      <x:c r="O47" s="25" t="str"/>
      <x:c r="P47" s="25" t="str"/>
    </x:row>
    <x:row r="48" ht="42" customHeight="1">
      <x:c r="A48" s="25" t="str"/>
      <x:c r="B48" s="25" t="str"/>
      <x:c r="C48" s="25" t="str"/>
      <x:c r="D48" s="25" t="str"/>
      <x:c r="E48" s="25" t="str"/>
      <x:c r="F48" s="25" t="str"/>
      <x:c r="G48" s="25" t="str"/>
      <x:c r="H48" s="25" t="str"/>
      <x:c r="I48" s="25" t="str"/>
      <x:c r="J48" s="25" t="str"/>
      <x:c r="K48" s="25" t="str"/>
      <x:c r="L48" s="25" t="str"/>
      <x:c r="M48" s="25" t="str"/>
      <x:c r="N48" s="31" t="str"/>
      <x:c r="O48" s="25" t="str"/>
      <x:c r="P48" s="25" t="str"/>
    </x:row>
    <x:row r="49" ht="42" customHeight="1">
      <x:c r="A49" s="25" t="str"/>
      <x:c r="B49" s="25" t="str"/>
      <x:c r="C49" s="25" t="str"/>
      <x:c r="D49" s="25" t="str"/>
      <x:c r="E49" s="25" t="str"/>
      <x:c r="F49" s="25" t="str"/>
      <x:c r="G49" s="25" t="str"/>
      <x:c r="H49" s="25" t="str"/>
      <x:c r="I49" s="25" t="str"/>
      <x:c r="J49" s="25" t="str"/>
      <x:c r="K49" s="25" t="str"/>
      <x:c r="L49" s="25" t="str"/>
      <x:c r="M49" s="25" t="str"/>
      <x:c r="N49" s="31" t="str"/>
      <x:c r="O49" s="25" t="str"/>
      <x:c r="P49" s="25" t="str"/>
    </x:row>
    <x:row r="50" ht="42" customHeight="1">
      <x:c r="A50" s="25" t="str"/>
      <x:c r="B50" s="25" t="str"/>
      <x:c r="C50" s="25" t="str"/>
      <x:c r="D50" s="25" t="str"/>
      <x:c r="E50" s="25" t="str"/>
      <x:c r="F50" s="25" t="str"/>
      <x:c r="G50" s="25" t="str"/>
      <x:c r="H50" s="25" t="str"/>
      <x:c r="I50" s="25" t="str"/>
      <x:c r="J50" s="25" t="str"/>
      <x:c r="K50" s="25" t="str"/>
      <x:c r="L50" s="25" t="str"/>
      <x:c r="M50" s="25" t="str"/>
      <x:c r="N50" s="31" t="str"/>
      <x:c r="O50" s="25" t="str"/>
      <x:c r="P50" s="25" t="str"/>
    </x:row>
    <x:row r="51" ht="42" customHeight="1">
      <x:c r="A51" s="25" t="str"/>
      <x:c r="B51" s="25" t="str"/>
      <x:c r="C51" s="25" t="str"/>
      <x:c r="D51" s="25" t="str"/>
      <x:c r="E51" s="25" t="str"/>
      <x:c r="F51" s="25" t="str"/>
      <x:c r="G51" s="25" t="str"/>
      <x:c r="H51" s="25" t="str"/>
      <x:c r="I51" s="25" t="str"/>
      <x:c r="J51" s="25" t="str"/>
      <x:c r="K51" s="25" t="str"/>
      <x:c r="L51" s="25" t="str"/>
      <x:c r="M51" s="25" t="str"/>
      <x:c r="N51" s="31" t="str"/>
      <x:c r="O51" s="25" t="str"/>
      <x:c r="P51" s="25" t="str"/>
    </x:row>
    <x:row r="52" ht="42" customHeight="1">
      <x:c r="A52" s="25" t="str"/>
      <x:c r="B52" s="25" t="str"/>
      <x:c r="C52" s="25" t="str"/>
      <x:c r="D52" s="25" t="str"/>
      <x:c r="E52" s="25" t="str"/>
      <x:c r="F52" s="25" t="str"/>
      <x:c r="G52" s="25" t="str"/>
      <x:c r="H52" s="25" t="str"/>
      <x:c r="I52" s="25" t="str"/>
      <x:c r="J52" s="25" t="str"/>
      <x:c r="K52" s="25" t="str"/>
      <x:c r="L52" s="25" t="str"/>
      <x:c r="M52" s="25" t="str"/>
      <x:c r="N52" s="31" t="str"/>
      <x:c r="O52" s="25" t="str"/>
      <x:c r="P52" s="25" t="str"/>
    </x:row>
    <x:row r="53" ht="42" customHeight="1">
      <x:c r="A53" s="25" t="str"/>
      <x:c r="B53" s="25" t="str"/>
      <x:c r="C53" s="25" t="str"/>
      <x:c r="D53" s="25" t="str"/>
      <x:c r="E53" s="25" t="str"/>
      <x:c r="F53" s="25" t="str"/>
      <x:c r="G53" s="25" t="str"/>
      <x:c r="H53" s="25" t="str"/>
      <x:c r="I53" s="25" t="str"/>
      <x:c r="J53" s="25" t="str"/>
      <x:c r="K53" s="25" t="str"/>
      <x:c r="L53" s="25" t="str"/>
      <x:c r="M53" s="25" t="str"/>
      <x:c r="N53" s="31" t="str"/>
      <x:c r="O53" s="25" t="str"/>
      <x:c r="P53" s="25" t="str"/>
    </x:row>
    <x:row r="54" ht="42" customHeight="1">
      <x:c r="A54" s="25" t="str"/>
      <x:c r="B54" s="25" t="str"/>
      <x:c r="C54" s="25" t="str"/>
      <x:c r="D54" s="25" t="str"/>
      <x:c r="E54" s="25" t="str"/>
      <x:c r="F54" s="25" t="str"/>
      <x:c r="G54" s="25" t="str"/>
      <x:c r="H54" s="25" t="str"/>
      <x:c r="I54" s="25" t="str"/>
      <x:c r="J54" s="25" t="str"/>
      <x:c r="K54" s="25" t="str"/>
      <x:c r="L54" s="25" t="str"/>
      <x:c r="M54" s="25" t="str"/>
      <x:c r="N54" s="31" t="str"/>
      <x:c r="O54" s="25" t="str"/>
      <x:c r="P54" s="25" t="str"/>
    </x:row>
    <x:row r="55" ht="42" customHeight="1">
      <x:c r="A55" s="25" t="str"/>
      <x:c r="B55" s="25" t="str"/>
      <x:c r="C55" s="25" t="str"/>
      <x:c r="D55" s="25" t="str"/>
      <x:c r="E55" s="25" t="str"/>
      <x:c r="F55" s="25" t="str"/>
      <x:c r="G55" s="25" t="str"/>
      <x:c r="H55" s="25" t="str"/>
      <x:c r="I55" s="25" t="str"/>
      <x:c r="J55" s="25" t="str"/>
      <x:c r="K55" s="25" t="str"/>
      <x:c r="L55" s="25" t="str"/>
      <x:c r="M55" s="25" t="str"/>
      <x:c r="N55" s="31" t="str"/>
      <x:c r="O55" s="25" t="str"/>
      <x:c r="P55" s="25" t="str"/>
    </x:row>
    <x:row r="56" ht="42" customHeight="1">
      <x:c r="A56" s="25" t="str"/>
      <x:c r="B56" s="25" t="str"/>
      <x:c r="C56" s="25" t="str"/>
      <x:c r="D56" s="25" t="str"/>
      <x:c r="E56" s="25" t="str"/>
      <x:c r="F56" s="25" t="str"/>
      <x:c r="G56" s="25" t="str"/>
      <x:c r="H56" s="25" t="str"/>
      <x:c r="I56" s="25" t="str"/>
      <x:c r="J56" s="25" t="str"/>
      <x:c r="K56" s="25" t="str"/>
      <x:c r="L56" s="25" t="str"/>
      <x:c r="M56" s="25" t="str"/>
      <x:c r="N56" s="31" t="str"/>
      <x:c r="O56" s="25" t="str"/>
      <x:c r="P56" s="25" t="str"/>
    </x:row>
    <x:row r="57" ht="42" customHeight="1">
      <x:c r="A57" s="25" t="str"/>
      <x:c r="B57" s="25" t="str"/>
      <x:c r="C57" s="25" t="str"/>
      <x:c r="D57" s="25" t="str"/>
      <x:c r="E57" s="25" t="str"/>
      <x:c r="F57" s="25" t="str"/>
      <x:c r="G57" s="25" t="str"/>
      <x:c r="H57" s="25" t="str"/>
      <x:c r="I57" s="25" t="str"/>
      <x:c r="J57" s="25" t="str"/>
      <x:c r="K57" s="25" t="str"/>
      <x:c r="L57" s="25" t="str"/>
      <x:c r="M57" s="25" t="str"/>
      <x:c r="N57" s="31" t="str"/>
      <x:c r="O57" s="25" t="str"/>
      <x:c r="P57" s="25" t="str"/>
    </x:row>
    <x:row r="58" ht="42" customHeight="1">
      <x:c r="A58" s="25" t="str"/>
      <x:c r="B58" s="25" t="str"/>
      <x:c r="C58" s="25" t="str"/>
      <x:c r="D58" s="25" t="str"/>
      <x:c r="E58" s="25" t="str"/>
      <x:c r="F58" s="25" t="str"/>
      <x:c r="G58" s="25" t="str"/>
      <x:c r="H58" s="25" t="str"/>
      <x:c r="I58" s="25" t="str"/>
      <x:c r="J58" s="25" t="str"/>
      <x:c r="K58" s="25" t="str"/>
      <x:c r="L58" s="25" t="str"/>
      <x:c r="M58" s="25" t="str"/>
      <x:c r="N58" s="31" t="str"/>
      <x:c r="O58" s="25" t="str"/>
      <x:c r="P58" s="25" t="str"/>
    </x:row>
    <x:row r="59" ht="42" customHeight="1">
      <x:c r="A59" s="25" t="str"/>
      <x:c r="B59" s="25" t="str"/>
      <x:c r="C59" s="25" t="str"/>
      <x:c r="D59" s="25" t="str"/>
      <x:c r="E59" s="25" t="str"/>
      <x:c r="F59" s="25" t="str"/>
      <x:c r="G59" s="25" t="str"/>
      <x:c r="H59" s="25" t="str"/>
      <x:c r="I59" s="25" t="str"/>
      <x:c r="J59" s="25" t="str"/>
      <x:c r="K59" s="25" t="str"/>
      <x:c r="L59" s="25" t="str"/>
      <x:c r="M59" s="25" t="str"/>
      <x:c r="N59" s="31" t="str"/>
      <x:c r="O59" s="25" t="str"/>
      <x:c r="P59" s="25" t="str"/>
    </x:row>
    <x:row r="60" ht="42" customHeight="1">
      <x:c r="A60" s="25" t="str"/>
      <x:c r="B60" s="25" t="str"/>
      <x:c r="C60" s="25" t="str"/>
      <x:c r="D60" s="25" t="str"/>
      <x:c r="E60" s="25" t="str"/>
      <x:c r="F60" s="25" t="str"/>
      <x:c r="G60" s="25" t="str"/>
      <x:c r="H60" s="25" t="str"/>
      <x:c r="I60" s="25" t="str"/>
      <x:c r="J60" s="25" t="str"/>
      <x:c r="K60" s="25" t="str"/>
      <x:c r="L60" s="25" t="str"/>
      <x:c r="M60" s="25" t="str"/>
      <x:c r="N60" s="31" t="str"/>
      <x:c r="O60" s="25" t="str"/>
      <x:c r="P60" s="25" t="str"/>
    </x:row>
    <x:row r="61" ht="42" customHeight="1">
      <x:c r="A61" s="25" t="str"/>
      <x:c r="B61" s="25" t="str"/>
      <x:c r="C61" s="25" t="str"/>
      <x:c r="D61" s="25" t="str"/>
      <x:c r="E61" s="25" t="str"/>
      <x:c r="F61" s="25" t="str"/>
      <x:c r="G61" s="25" t="str"/>
      <x:c r="H61" s="25" t="str"/>
      <x:c r="I61" s="25" t="str"/>
      <x:c r="J61" s="25" t="str"/>
      <x:c r="K61" s="25" t="str"/>
      <x:c r="L61" s="25" t="str"/>
      <x:c r="M61" s="25" t="str"/>
      <x:c r="N61" s="31" t="str"/>
      <x:c r="O61" s="25" t="str"/>
      <x:c r="P61" s="25" t="str"/>
    </x:row>
    <x:row r="62" ht="42" customHeight="1">
      <x:c r="A62" s="25" t="str"/>
      <x:c r="B62" s="25" t="str"/>
      <x:c r="C62" s="25" t="str"/>
      <x:c r="D62" s="25" t="str"/>
      <x:c r="E62" s="25" t="str"/>
      <x:c r="F62" s="25" t="str"/>
      <x:c r="G62" s="25" t="str"/>
      <x:c r="H62" s="25" t="str"/>
      <x:c r="I62" s="25" t="str"/>
      <x:c r="J62" s="25" t="str"/>
      <x:c r="K62" s="25" t="str"/>
      <x:c r="L62" s="25" t="str"/>
      <x:c r="M62" s="25" t="str"/>
      <x:c r="N62" s="31" t="str"/>
      <x:c r="O62" s="25" t="str"/>
      <x:c r="P62" s="25" t="str"/>
    </x:row>
    <x:row r="63" ht="42" customHeight="1">
      <x:c r="A63" s="25" t="str"/>
      <x:c r="B63" s="25" t="str"/>
      <x:c r="C63" s="25" t="str"/>
      <x:c r="D63" s="25" t="str"/>
      <x:c r="E63" s="25" t="str"/>
      <x:c r="F63" s="25" t="str"/>
      <x:c r="G63" s="25" t="str"/>
      <x:c r="H63" s="25" t="str"/>
      <x:c r="I63" s="25" t="str"/>
      <x:c r="J63" s="25" t="str"/>
      <x:c r="K63" s="25" t="str"/>
      <x:c r="L63" s="25" t="str"/>
      <x:c r="M63" s="25" t="str"/>
      <x:c r="N63" s="31" t="str"/>
      <x:c r="O63" s="25" t="str"/>
      <x:c r="P63" s="25" t="str"/>
    </x:row>
    <x:row r="64" ht="42" customHeight="1">
      <x:c r="A64" s="25" t="str"/>
      <x:c r="B64" s="25" t="str"/>
      <x:c r="C64" s="25" t="str"/>
      <x:c r="D64" s="25" t="str"/>
      <x:c r="E64" s="25" t="str"/>
      <x:c r="F64" s="25" t="str"/>
      <x:c r="G64" s="25" t="str"/>
      <x:c r="H64" s="25" t="str"/>
      <x:c r="I64" s="25" t="str"/>
      <x:c r="J64" s="25" t="str"/>
      <x:c r="K64" s="25" t="str"/>
      <x:c r="L64" s="25" t="str"/>
      <x:c r="M64" s="25" t="str"/>
      <x:c r="N64" s="31" t="str"/>
      <x:c r="O64" s="25" t="str"/>
      <x:c r="P64" s="25" t="str"/>
    </x:row>
    <x:row r="65" ht="42" customHeight="1">
      <x:c r="A65" s="25" t="str"/>
      <x:c r="B65" s="25" t="str"/>
      <x:c r="C65" s="25" t="str"/>
      <x:c r="D65" s="25" t="str"/>
      <x:c r="E65" s="25" t="str"/>
      <x:c r="F65" s="25" t="str"/>
      <x:c r="G65" s="25" t="str"/>
      <x:c r="H65" s="25" t="str"/>
      <x:c r="I65" s="25" t="str"/>
      <x:c r="J65" s="25" t="str"/>
      <x:c r="K65" s="25" t="str"/>
      <x:c r="L65" s="25" t="str"/>
      <x:c r="M65" s="25" t="str"/>
      <x:c r="N65" s="31" t="str"/>
      <x:c r="O65" s="25" t="str"/>
      <x:c r="P65" s="25" t="str"/>
    </x:row>
    <x:row r="66" ht="42" customHeight="1">
      <x:c r="A66" s="25" t="str"/>
      <x:c r="B66" s="25" t="str"/>
      <x:c r="C66" s="25" t="str"/>
      <x:c r="D66" s="25" t="str"/>
      <x:c r="E66" s="25" t="str"/>
      <x:c r="F66" s="25" t="str"/>
      <x:c r="G66" s="25" t="str"/>
      <x:c r="H66" s="25" t="str"/>
      <x:c r="I66" s="25" t="str"/>
      <x:c r="J66" s="25" t="str"/>
      <x:c r="K66" s="25" t="str"/>
      <x:c r="L66" s="25" t="str"/>
      <x:c r="M66" s="25" t="str"/>
      <x:c r="N66" s="31" t="str"/>
      <x:c r="O66" s="25" t="str"/>
      <x:c r="P66" s="25" t="str"/>
    </x:row>
    <x:row r="67" ht="42" customHeight="1">
      <x:c r="A67" s="25" t="str"/>
      <x:c r="B67" s="25" t="str"/>
      <x:c r="C67" s="25" t="str"/>
      <x:c r="D67" s="25" t="str"/>
      <x:c r="E67" s="25" t="str"/>
      <x:c r="F67" s="25" t="str"/>
      <x:c r="G67" s="25" t="str"/>
      <x:c r="H67" s="25" t="str"/>
      <x:c r="I67" s="25" t="str"/>
      <x:c r="J67" s="25" t="str"/>
      <x:c r="K67" s="25" t="str"/>
      <x:c r="L67" s="25" t="str"/>
      <x:c r="M67" s="25" t="str"/>
      <x:c r="N67" s="31" t="str"/>
      <x:c r="O67" s="25" t="str"/>
      <x:c r="P67" s="25" t="str"/>
    </x:row>
    <x:row r="68" ht="42" customHeight="1">
      <x:c r="A68" s="25" t="str"/>
      <x:c r="B68" s="25" t="str"/>
      <x:c r="C68" s="25" t="str"/>
      <x:c r="D68" s="25" t="str"/>
      <x:c r="E68" s="25" t="str"/>
      <x:c r="F68" s="25" t="str"/>
      <x:c r="G68" s="25" t="str"/>
      <x:c r="H68" s="25" t="str"/>
      <x:c r="I68" s="25" t="str"/>
      <x:c r="J68" s="25" t="str"/>
      <x:c r="K68" s="25" t="str"/>
      <x:c r="L68" s="25" t="str"/>
      <x:c r="M68" s="25" t="str"/>
      <x:c r="N68" s="31" t="str"/>
      <x:c r="O68" s="25" t="str"/>
      <x:c r="P68" s="25" t="str"/>
    </x:row>
    <x:row r="69" ht="42" customHeight="1">
      <x:c r="A69" s="25" t="str"/>
      <x:c r="B69" s="25" t="str"/>
      <x:c r="C69" s="25" t="str"/>
      <x:c r="D69" s="25" t="str"/>
      <x:c r="E69" s="25" t="str"/>
      <x:c r="F69" s="25" t="str"/>
      <x:c r="G69" s="25" t="str"/>
      <x:c r="H69" s="25" t="str"/>
      <x:c r="I69" s="25" t="str"/>
      <x:c r="J69" s="25" t="str"/>
      <x:c r="K69" s="25" t="str"/>
      <x:c r="L69" s="25" t="str"/>
      <x:c r="M69" s="25" t="str"/>
      <x:c r="N69" s="31" t="str"/>
      <x:c r="O69" s="25" t="str"/>
      <x:c r="P69" s="25" t="str"/>
    </x:row>
    <x:row r="70" ht="42" customHeight="1">
      <x:c r="A70" s="25" t="str"/>
      <x:c r="B70" s="25" t="str"/>
      <x:c r="C70" s="25" t="str"/>
      <x:c r="D70" s="25" t="str"/>
      <x:c r="E70" s="25" t="str"/>
      <x:c r="F70" s="25" t="str"/>
      <x:c r="G70" s="25" t="str"/>
      <x:c r="H70" s="25" t="str"/>
      <x:c r="I70" s="25" t="str"/>
      <x:c r="J70" s="25" t="str"/>
      <x:c r="K70" s="25" t="str"/>
      <x:c r="L70" s="25" t="str"/>
      <x:c r="M70" s="25" t="str"/>
      <x:c r="N70" s="31" t="str"/>
      <x:c r="O70" s="25" t="str"/>
      <x:c r="P70" s="25" t="str"/>
    </x:row>
    <x:row r="71" ht="42" customHeight="1">
      <x:c r="A71" s="25" t="str"/>
      <x:c r="B71" s="25" t="str"/>
      <x:c r="C71" s="25" t="str"/>
      <x:c r="D71" s="25" t="str"/>
      <x:c r="E71" s="25" t="str"/>
      <x:c r="F71" s="25" t="str"/>
      <x:c r="G71" s="25" t="str"/>
      <x:c r="H71" s="25" t="str"/>
      <x:c r="I71" s="25" t="str"/>
      <x:c r="J71" s="25" t="str"/>
      <x:c r="K71" s="25" t="str"/>
      <x:c r="L71" s="25" t="str"/>
      <x:c r="M71" s="25" t="str"/>
      <x:c r="N71" s="31" t="str"/>
      <x:c r="O71" s="25" t="str"/>
      <x:c r="P71" s="25" t="str"/>
    </x:row>
    <x:row r="72" ht="42" customHeight="1">
      <x:c r="A72" s="25" t="str"/>
      <x:c r="B72" s="25" t="str"/>
      <x:c r="C72" s="25" t="str"/>
      <x:c r="D72" s="25" t="str"/>
      <x:c r="E72" s="25" t="str"/>
      <x:c r="F72" s="25" t="str"/>
      <x:c r="G72" s="25" t="str"/>
      <x:c r="H72" s="25" t="str"/>
      <x:c r="I72" s="25" t="str"/>
      <x:c r="J72" s="25" t="str"/>
      <x:c r="K72" s="25" t="str"/>
      <x:c r="L72" s="25" t="str"/>
      <x:c r="M72" s="25" t="str"/>
      <x:c r="N72" s="31" t="str"/>
      <x:c r="O72" s="25" t="str"/>
      <x:c r="P72" s="25" t="str"/>
    </x:row>
    <x:row r="73" ht="42" customHeight="1">
      <x:c r="A73" s="25" t="str"/>
      <x:c r="B73" s="25" t="str"/>
      <x:c r="C73" s="25" t="str"/>
      <x:c r="D73" s="25" t="str"/>
      <x:c r="E73" s="25" t="str"/>
      <x:c r="F73" s="25" t="str"/>
      <x:c r="G73" s="25" t="str"/>
      <x:c r="H73" s="25" t="str"/>
      <x:c r="I73" s="25" t="str"/>
      <x:c r="J73" s="25" t="str"/>
      <x:c r="K73" s="25" t="str"/>
      <x:c r="L73" s="25" t="str"/>
      <x:c r="M73" s="25" t="str"/>
      <x:c r="N73" s="31" t="str"/>
      <x:c r="O73" s="25" t="str"/>
      <x:c r="P73" s="25" t="str"/>
    </x:row>
    <x:row r="74" ht="42" customHeight="1">
      <x:c r="A74" s="25" t="str"/>
      <x:c r="B74" s="25" t="str"/>
      <x:c r="C74" s="25" t="str"/>
      <x:c r="D74" s="25" t="str"/>
      <x:c r="E74" s="25" t="str"/>
      <x:c r="F74" s="25" t="str"/>
      <x:c r="G74" s="25" t="str"/>
      <x:c r="H74" s="25" t="str"/>
      <x:c r="I74" s="25" t="str"/>
      <x:c r="J74" s="25" t="str"/>
      <x:c r="K74" s="25" t="str"/>
      <x:c r="L74" s="25" t="str"/>
      <x:c r="M74" s="25" t="str"/>
      <x:c r="N74" s="31" t="str"/>
      <x:c r="O74" s="25" t="str"/>
      <x:c r="P74" s="25" t="str"/>
    </x:row>
    <x:row r="75" ht="42" customHeight="1">
      <x:c r="A75" s="25" t="str"/>
      <x:c r="B75" s="25" t="str"/>
      <x:c r="C75" s="25" t="str"/>
      <x:c r="D75" s="25" t="str"/>
      <x:c r="E75" s="25" t="str"/>
      <x:c r="F75" s="25" t="str"/>
      <x:c r="G75" s="25" t="str"/>
      <x:c r="H75" s="25" t="str"/>
      <x:c r="I75" s="25" t="str"/>
      <x:c r="J75" s="25" t="str"/>
      <x:c r="K75" s="25" t="str"/>
      <x:c r="L75" s="25" t="str"/>
      <x:c r="M75" s="25" t="str"/>
      <x:c r="N75" s="31" t="str"/>
      <x:c r="O75" s="25" t="str"/>
      <x:c r="P75" s="25" t="str"/>
    </x:row>
    <x:row r="76" ht="42" customHeight="1">
      <x:c r="A76" s="25" t="str"/>
      <x:c r="B76" s="25" t="str"/>
      <x:c r="C76" s="25" t="str"/>
      <x:c r="D76" s="25" t="str"/>
      <x:c r="E76" s="25" t="str"/>
      <x:c r="F76" s="25" t="str"/>
      <x:c r="G76" s="25" t="str"/>
      <x:c r="H76" s="25" t="str"/>
      <x:c r="I76" s="25" t="str"/>
      <x:c r="J76" s="25" t="str"/>
      <x:c r="K76" s="25" t="str"/>
      <x:c r="L76" s="25" t="str"/>
      <x:c r="M76" s="25" t="str"/>
      <x:c r="N76" s="31" t="str"/>
      <x:c r="O76" s="25" t="str"/>
      <x:c r="P76" s="25" t="str"/>
    </x:row>
    <x:row r="77" ht="42" customHeight="1">
      <x:c r="A77" s="25" t="str"/>
      <x:c r="B77" s="25" t="str"/>
      <x:c r="C77" s="25" t="str"/>
      <x:c r="D77" s="25" t="str"/>
      <x:c r="E77" s="25" t="str"/>
      <x:c r="F77" s="25" t="str"/>
      <x:c r="G77" s="25" t="str"/>
      <x:c r="H77" s="25" t="str"/>
      <x:c r="I77" s="25" t="str"/>
      <x:c r="J77" s="25" t="str"/>
      <x:c r="K77" s="25" t="str"/>
      <x:c r="L77" s="25" t="str"/>
      <x:c r="M77" s="25" t="str"/>
      <x:c r="N77" s="31" t="str"/>
      <x:c r="O77" s="25" t="str"/>
      <x:c r="P77" s="25" t="str"/>
    </x:row>
    <x:row r="78" ht="42" customHeight="1">
      <x:c r="A78" s="25" t="str"/>
      <x:c r="B78" s="25" t="str"/>
      <x:c r="C78" s="25" t="str"/>
      <x:c r="D78" s="25" t="str"/>
      <x:c r="E78" s="25" t="str"/>
      <x:c r="F78" s="25" t="str"/>
      <x:c r="G78" s="25" t="str"/>
      <x:c r="H78" s="25" t="str"/>
      <x:c r="I78" s="25" t="str"/>
      <x:c r="J78" s="25" t="str"/>
      <x:c r="K78" s="25" t="str"/>
      <x:c r="L78" s="25" t="str"/>
      <x:c r="M78" s="25" t="str"/>
      <x:c r="N78" s="31" t="str"/>
      <x:c r="O78" s="25" t="str"/>
      <x:c r="P78" s="25" t="str"/>
    </x:row>
    <x:row r="79" ht="42" customHeight="1">
      <x:c r="A79" s="25" t="str"/>
      <x:c r="B79" s="25" t="str"/>
      <x:c r="C79" s="25" t="str"/>
      <x:c r="D79" s="25" t="str"/>
      <x:c r="E79" s="25" t="str"/>
      <x:c r="F79" s="25" t="str"/>
      <x:c r="G79" s="25" t="str"/>
      <x:c r="H79" s="25" t="str"/>
      <x:c r="I79" s="25" t="str"/>
      <x:c r="J79" s="25" t="str"/>
      <x:c r="K79" s="25" t="str"/>
      <x:c r="L79" s="25" t="str"/>
      <x:c r="M79" s="25" t="str"/>
      <x:c r="N79" s="31" t="str"/>
      <x:c r="O79" s="25" t="str"/>
      <x:c r="P79" s="25" t="str"/>
    </x:row>
    <x:row r="80" ht="42" customHeight="1">
      <x:c r="A80" s="25" t="str"/>
      <x:c r="B80" s="25" t="str"/>
      <x:c r="C80" s="25" t="str"/>
      <x:c r="D80" s="25" t="str"/>
      <x:c r="E80" s="25" t="str"/>
      <x:c r="F80" s="25" t="str"/>
      <x:c r="G80" s="25" t="str"/>
      <x:c r="H80" s="25" t="str"/>
      <x:c r="I80" s="25" t="str"/>
      <x:c r="J80" s="25" t="str"/>
      <x:c r="K80" s="25" t="str"/>
      <x:c r="L80" s="25" t="str"/>
      <x:c r="M80" s="25" t="str"/>
      <x:c r="N80" s="31" t="str"/>
      <x:c r="O80" s="25" t="str"/>
      <x:c r="P80" s="25" t="str"/>
    </x:row>
    <x:row r="81" ht="42" customHeight="1">
      <x:c r="A81" s="25" t="str"/>
      <x:c r="B81" s="25" t="str"/>
      <x:c r="C81" s="25" t="str"/>
      <x:c r="D81" s="25" t="str"/>
      <x:c r="E81" s="25" t="str"/>
      <x:c r="F81" s="25" t="str"/>
      <x:c r="G81" s="25" t="str"/>
      <x:c r="H81" s="25" t="str"/>
      <x:c r="I81" s="25" t="str"/>
      <x:c r="J81" s="25" t="str"/>
      <x:c r="K81" s="25" t="str"/>
      <x:c r="L81" s="25" t="str"/>
      <x:c r="M81" s="25" t="str"/>
      <x:c r="N81" s="31" t="str"/>
      <x:c r="O81" s="25" t="str"/>
      <x:c r="P81" s="25" t="str"/>
    </x:row>
    <x:row r="82" ht="42" customHeight="1">
      <x:c r="A82" s="25" t="str"/>
      <x:c r="B82" s="25" t="str"/>
      <x:c r="C82" s="25" t="str"/>
      <x:c r="D82" s="25" t="str"/>
      <x:c r="E82" s="25" t="str"/>
      <x:c r="F82" s="25" t="str"/>
      <x:c r="G82" s="25" t="str"/>
      <x:c r="H82" s="25" t="str"/>
      <x:c r="I82" s="25" t="str"/>
      <x:c r="J82" s="25" t="str"/>
      <x:c r="K82" s="25" t="str"/>
      <x:c r="L82" s="25" t="str"/>
      <x:c r="M82" s="25" t="str"/>
      <x:c r="N82" s="31" t="str"/>
      <x:c r="O82" s="25" t="str"/>
      <x:c r="P82" s="25" t="str"/>
    </x:row>
    <x:row r="83" ht="42" customHeight="1">
      <x:c r="A83" s="25" t="str"/>
      <x:c r="B83" s="25" t="str"/>
      <x:c r="C83" s="25" t="str"/>
      <x:c r="D83" s="25" t="str"/>
      <x:c r="E83" s="25" t="str"/>
      <x:c r="F83" s="25" t="str"/>
      <x:c r="G83" s="25" t="str"/>
      <x:c r="H83" s="25" t="str"/>
      <x:c r="I83" s="25" t="str"/>
      <x:c r="J83" s="25" t="str"/>
      <x:c r="K83" s="25" t="str"/>
      <x:c r="L83" s="25" t="str"/>
      <x:c r="M83" s="25" t="str"/>
      <x:c r="N83" s="31" t="str"/>
      <x:c r="O83" s="25" t="str"/>
      <x:c r="P83" s="25" t="str"/>
    </x:row>
    <x:row r="84" ht="42" customHeight="1">
      <x:c r="A84" s="25" t="str"/>
      <x:c r="B84" s="25" t="str"/>
      <x:c r="C84" s="25" t="str"/>
      <x:c r="D84" s="25" t="str"/>
      <x:c r="E84" s="25" t="str"/>
      <x:c r="F84" s="25" t="str"/>
      <x:c r="G84" s="25" t="str"/>
      <x:c r="H84" s="25" t="str"/>
      <x:c r="I84" s="25" t="str"/>
      <x:c r="J84" s="25" t="str"/>
      <x:c r="K84" s="25" t="str"/>
      <x:c r="L84" s="25" t="str"/>
      <x:c r="M84" s="25" t="str"/>
      <x:c r="N84" s="31" t="str"/>
      <x:c r="O84" s="25" t="str"/>
      <x:c r="P84" s="25" t="str"/>
    </x:row>
    <x:row r="85" ht="42" customHeight="1">
      <x:c r="A85" s="25" t="str"/>
      <x:c r="B85" s="25" t="str"/>
      <x:c r="C85" s="25" t="str"/>
      <x:c r="D85" s="25" t="str"/>
      <x:c r="E85" s="25" t="str"/>
      <x:c r="F85" s="25" t="str"/>
      <x:c r="G85" s="25" t="str"/>
      <x:c r="H85" s="25" t="str"/>
      <x:c r="I85" s="25" t="str"/>
      <x:c r="J85" s="25" t="str"/>
      <x:c r="K85" s="25" t="str"/>
      <x:c r="L85" s="25" t="str"/>
      <x:c r="M85" s="25" t="str"/>
      <x:c r="N85" s="31" t="str"/>
      <x:c r="O85" s="25" t="str"/>
      <x:c r="P85" s="25" t="str"/>
    </x:row>
    <x:row r="86" ht="42" customHeight="1">
      <x:c r="A86" s="25" t="str"/>
      <x:c r="B86" s="25" t="str"/>
      <x:c r="C86" s="25" t="str"/>
      <x:c r="D86" s="25" t="str"/>
      <x:c r="E86" s="25" t="str"/>
      <x:c r="F86" s="25" t="str"/>
      <x:c r="G86" s="25" t="str"/>
      <x:c r="H86" s="25" t="str"/>
      <x:c r="I86" s="25" t="str"/>
      <x:c r="J86" s="25" t="str"/>
      <x:c r="K86" s="25" t="str"/>
      <x:c r="L86" s="25" t="str"/>
      <x:c r="M86" s="25" t="str"/>
      <x:c r="N86" s="31" t="str"/>
      <x:c r="O86" s="25" t="str"/>
      <x:c r="P86" s="25" t="str"/>
    </x:row>
    <x:row r="87" ht="42" customHeight="1">
      <x:c r="A87" s="25" t="str"/>
      <x:c r="B87" s="25" t="str"/>
      <x:c r="C87" s="25" t="str"/>
      <x:c r="D87" s="25" t="str"/>
      <x:c r="E87" s="25" t="str"/>
      <x:c r="F87" s="25" t="str"/>
      <x:c r="G87" s="25" t="str"/>
      <x:c r="H87" s="25" t="str"/>
      <x:c r="I87" s="25" t="str"/>
      <x:c r="J87" s="25" t="str"/>
      <x:c r="K87" s="25" t="str"/>
      <x:c r="L87" s="25" t="str"/>
      <x:c r="M87" s="25" t="str"/>
      <x:c r="N87" s="31" t="str"/>
      <x:c r="O87" s="25" t="str"/>
      <x:c r="P87" s="25" t="str"/>
    </x:row>
    <x:row r="88" ht="42" customHeight="1">
      <x:c r="A88" s="25" t="str"/>
      <x:c r="B88" s="25" t="str"/>
      <x:c r="C88" s="25" t="str"/>
      <x:c r="D88" s="25" t="str"/>
      <x:c r="E88" s="25" t="str"/>
      <x:c r="F88" s="25" t="str"/>
      <x:c r="G88" s="25" t="str"/>
      <x:c r="H88" s="25" t="str"/>
      <x:c r="I88" s="25" t="str"/>
      <x:c r="J88" s="25" t="str"/>
      <x:c r="K88" s="25" t="str"/>
      <x:c r="L88" s="25" t="str"/>
      <x:c r="M88" s="25" t="str"/>
      <x:c r="N88" s="31" t="str"/>
      <x:c r="O88" s="25" t="str"/>
      <x:c r="P88" s="25" t="str"/>
    </x:row>
    <x:row r="89" ht="42" customHeight="1">
      <x:c r="A89" s="25" t="str"/>
      <x:c r="B89" s="25" t="str"/>
      <x:c r="C89" s="25" t="str"/>
      <x:c r="D89" s="25" t="str"/>
      <x:c r="E89" s="25" t="str"/>
      <x:c r="F89" s="25" t="str"/>
      <x:c r="G89" s="25" t="str"/>
      <x:c r="H89" s="25" t="str"/>
      <x:c r="I89" s="25" t="str"/>
      <x:c r="J89" s="25" t="str"/>
      <x:c r="K89" s="25" t="str"/>
      <x:c r="L89" s="25" t="str"/>
      <x:c r="M89" s="25" t="str"/>
      <x:c r="N89" s="31" t="str"/>
      <x:c r="O89" s="25" t="str"/>
      <x:c r="P89" s="25" t="str"/>
    </x:row>
    <x:row r="90" ht="42" customHeight="1">
      <x:c r="A90" s="25" t="str"/>
      <x:c r="B90" s="25" t="str"/>
      <x:c r="C90" s="25" t="str"/>
      <x:c r="D90" s="25" t="str"/>
      <x:c r="E90" s="25" t="str"/>
      <x:c r="F90" s="25" t="str"/>
      <x:c r="G90" s="25" t="str"/>
      <x:c r="H90" s="25" t="str"/>
      <x:c r="I90" s="25" t="str"/>
      <x:c r="J90" s="25" t="str"/>
      <x:c r="K90" s="25" t="str"/>
      <x:c r="L90" s="25" t="str"/>
      <x:c r="M90" s="25" t="str"/>
      <x:c r="N90" s="31" t="str"/>
      <x:c r="O90" s="25" t="str"/>
      <x:c r="P90" s="25" t="str"/>
    </x:row>
    <x:row r="91" ht="42" customHeight="1">
      <x:c r="A91" s="25" t="str"/>
      <x:c r="B91" s="25" t="str"/>
      <x:c r="C91" s="25" t="str"/>
      <x:c r="D91" s="25" t="str"/>
      <x:c r="E91" s="25" t="str"/>
      <x:c r="F91" s="25" t="str"/>
      <x:c r="G91" s="25" t="str"/>
      <x:c r="H91" s="25" t="str"/>
      <x:c r="I91" s="25" t="str"/>
      <x:c r="J91" s="25" t="str"/>
      <x:c r="K91" s="25" t="str"/>
      <x:c r="L91" s="25" t="str"/>
      <x:c r="M91" s="25" t="str"/>
      <x:c r="N91" s="31" t="str"/>
      <x:c r="O91" s="25" t="str"/>
      <x:c r="P91" s="25" t="str"/>
    </x:row>
    <x:row r="92" ht="42" customHeight="1">
      <x:c r="A92" s="25" t="str"/>
      <x:c r="B92" s="25" t="str"/>
      <x:c r="C92" s="25" t="str"/>
      <x:c r="D92" s="25" t="str"/>
      <x:c r="E92" s="25" t="str"/>
      <x:c r="F92" s="25" t="str"/>
      <x:c r="G92" s="25" t="str"/>
      <x:c r="H92" s="25" t="str"/>
      <x:c r="I92" s="25" t="str"/>
      <x:c r="J92" s="25" t="str"/>
      <x:c r="K92" s="25" t="str"/>
      <x:c r="L92" s="25" t="str"/>
      <x:c r="M92" s="25" t="str"/>
      <x:c r="N92" s="31" t="str"/>
      <x:c r="O92" s="25" t="str"/>
      <x:c r="P92" s="25" t="str"/>
    </x:row>
    <x:row r="93" ht="42" customHeight="1">
      <x:c r="A93" s="25" t="str"/>
      <x:c r="B93" s="25" t="str"/>
      <x:c r="C93" s="25" t="str"/>
      <x:c r="D93" s="25" t="str"/>
      <x:c r="E93" s="25" t="str"/>
      <x:c r="F93" s="25" t="str"/>
      <x:c r="G93" s="25" t="str"/>
      <x:c r="H93" s="25" t="str"/>
      <x:c r="I93" s="25" t="str"/>
      <x:c r="J93" s="25" t="str"/>
      <x:c r="K93" s="25" t="str"/>
      <x:c r="L93" s="25" t="str"/>
      <x:c r="M93" s="25" t="str"/>
      <x:c r="N93" s="31" t="str"/>
      <x:c r="O93" s="25" t="str"/>
      <x:c r="P93" s="25" t="str"/>
    </x:row>
    <x:row r="94" ht="42" customHeight="1">
      <x:c r="A94" s="25" t="str"/>
      <x:c r="B94" s="25" t="str"/>
      <x:c r="C94" s="25" t="str"/>
      <x:c r="D94" s="25" t="str"/>
      <x:c r="E94" s="25" t="str"/>
      <x:c r="F94" s="25" t="str"/>
      <x:c r="G94" s="25" t="str"/>
      <x:c r="H94" s="25" t="str"/>
      <x:c r="I94" s="25" t="str"/>
      <x:c r="J94" s="25" t="str"/>
      <x:c r="K94" s="25" t="str"/>
      <x:c r="L94" s="25" t="str"/>
      <x:c r="M94" s="25" t="str"/>
      <x:c r="N94" s="31" t="str"/>
      <x:c r="O94" s="25" t="str"/>
      <x:c r="P94" s="25" t="str"/>
    </x:row>
    <x:row r="95" ht="42" customHeight="1">
      <x:c r="A95" s="25" t="str"/>
      <x:c r="B95" s="25" t="str"/>
      <x:c r="C95" s="25" t="str"/>
      <x:c r="D95" s="25" t="str"/>
      <x:c r="E95" s="25" t="str"/>
      <x:c r="F95" s="25" t="str"/>
      <x:c r="G95" s="25" t="str"/>
      <x:c r="H95" s="25" t="str"/>
      <x:c r="I95" s="25" t="str"/>
      <x:c r="J95" s="25" t="str"/>
      <x:c r="K95" s="25" t="str"/>
      <x:c r="L95" s="25" t="str"/>
      <x:c r="M95" s="25" t="str"/>
      <x:c r="N95" s="31" t="str"/>
      <x:c r="O95" s="25" t="str"/>
      <x:c r="P95" s="25" t="str"/>
    </x:row>
    <x:row r="96" ht="42" customHeight="1">
      <x:c r="A96" s="25" t="str"/>
      <x:c r="B96" s="25" t="str"/>
      <x:c r="C96" s="25" t="str"/>
      <x:c r="D96" s="25" t="str"/>
      <x:c r="E96" s="25" t="str"/>
      <x:c r="F96" s="25" t="str"/>
      <x:c r="G96" s="25" t="str"/>
      <x:c r="H96" s="25" t="str"/>
      <x:c r="I96" s="25" t="str"/>
      <x:c r="J96" s="25" t="str"/>
      <x:c r="K96" s="25" t="str"/>
      <x:c r="L96" s="25" t="str"/>
      <x:c r="M96" s="25" t="str"/>
      <x:c r="N96" s="31" t="str"/>
      <x:c r="O96" s="25" t="str"/>
      <x:c r="P96" s="25" t="str"/>
    </x:row>
    <x:row r="97" ht="42" customHeight="1">
      <x:c r="A97" s="25" t="str"/>
      <x:c r="B97" s="25" t="str"/>
      <x:c r="C97" s="25" t="str"/>
      <x:c r="D97" s="25" t="str"/>
      <x:c r="E97" s="25" t="str"/>
      <x:c r="F97" s="25" t="str"/>
      <x:c r="G97" s="25" t="str"/>
      <x:c r="H97" s="25" t="str"/>
      <x:c r="I97" s="25" t="str"/>
      <x:c r="J97" s="25" t="str"/>
      <x:c r="K97" s="25" t="str"/>
      <x:c r="L97" s="25" t="str"/>
      <x:c r="M97" s="25" t="str"/>
      <x:c r="N97" s="31" t="str"/>
      <x:c r="O97" s="25" t="str"/>
      <x:c r="P97" s="25" t="str"/>
    </x:row>
    <x:row r="98" ht="42" customHeight="1">
      <x:c r="A98" s="25" t="str"/>
      <x:c r="B98" s="25" t="str"/>
      <x:c r="C98" s="25" t="str"/>
      <x:c r="D98" s="25" t="str"/>
      <x:c r="E98" s="25" t="str"/>
      <x:c r="F98" s="25" t="str"/>
      <x:c r="G98" s="25" t="str"/>
      <x:c r="H98" s="25" t="str"/>
      <x:c r="I98" s="25" t="str"/>
      <x:c r="J98" s="25" t="str"/>
      <x:c r="K98" s="25" t="str"/>
      <x:c r="L98" s="25" t="str"/>
      <x:c r="M98" s="25" t="str"/>
      <x:c r="N98" s="31" t="str"/>
      <x:c r="O98" s="25" t="str"/>
      <x:c r="P98" s="25" t="str"/>
    </x:row>
    <x:row r="99" ht="42" customHeight="1">
      <x:c r="A99" s="25" t="str"/>
      <x:c r="B99" s="25" t="str"/>
      <x:c r="C99" s="25" t="str"/>
      <x:c r="D99" s="25" t="str"/>
      <x:c r="E99" s="25" t="str"/>
      <x:c r="F99" s="25" t="str"/>
      <x:c r="G99" s="25" t="str"/>
      <x:c r="H99" s="25" t="str"/>
      <x:c r="I99" s="25" t="str"/>
      <x:c r="J99" s="25" t="str"/>
      <x:c r="K99" s="25" t="str"/>
      <x:c r="L99" s="25" t="str"/>
      <x:c r="M99" s="25" t="str"/>
      <x:c r="N99" s="31" t="str"/>
      <x:c r="O99" s="25" t="str"/>
      <x:c r="P99" s="25" t="str"/>
    </x:row>
    <x:row r="100" ht="42" customHeight="1">
      <x:c r="A100" s="25" t="str"/>
      <x:c r="B100" s="25" t="str"/>
      <x:c r="C100" s="25" t="str"/>
      <x:c r="D100" s="25" t="str"/>
      <x:c r="E100" s="25" t="str"/>
      <x:c r="F100" s="25" t="str"/>
      <x:c r="G100" s="25" t="str"/>
      <x:c r="H100" s="25" t="str"/>
      <x:c r="I100" s="25" t="str"/>
      <x:c r="J100" s="25" t="str"/>
      <x:c r="K100" s="25" t="str"/>
      <x:c r="L100" s="25" t="str"/>
      <x:c r="M100" s="25" t="str"/>
      <x:c r="N100" s="31" t="str"/>
      <x:c r="O100" s="25" t="str"/>
      <x:c r="P100" s="25" t="str"/>
    </x:row>
    <x:row r="101" ht="42" customHeight="1">
      <x:c r="A101" s="25" t="str"/>
      <x:c r="B101" s="25" t="str"/>
      <x:c r="C101" s="25" t="str"/>
      <x:c r="D101" s="25" t="str"/>
      <x:c r="E101" s="25" t="str"/>
      <x:c r="F101" s="25" t="str"/>
      <x:c r="G101" s="25" t="str"/>
      <x:c r="H101" s="25" t="str"/>
      <x:c r="I101" s="25" t="str"/>
      <x:c r="J101" s="25" t="str"/>
      <x:c r="K101" s="25" t="str"/>
      <x:c r="L101" s="25" t="str"/>
      <x:c r="M101" s="25" t="str"/>
      <x:c r="N101" s="31" t="str"/>
      <x:c r="O101" s="25" t="str"/>
      <x:c r="P101" s="25" t="str"/>
    </x:row>
    <x:row r="102" ht="42" customHeight="1">
      <x:c r="A102" s="25" t="str"/>
      <x:c r="B102" s="25" t="str"/>
      <x:c r="C102" s="25" t="str"/>
      <x:c r="D102" s="25" t="str"/>
      <x:c r="E102" s="25" t="str"/>
      <x:c r="F102" s="25" t="str"/>
      <x:c r="G102" s="25" t="str"/>
      <x:c r="H102" s="25" t="str"/>
      <x:c r="I102" s="25" t="str"/>
      <x:c r="J102" s="25" t="str"/>
      <x:c r="K102" s="25" t="str"/>
      <x:c r="L102" s="25" t="str"/>
      <x:c r="M102" s="25" t="str"/>
      <x:c r="N102" s="31" t="str"/>
      <x:c r="O102" s="25" t="str"/>
      <x:c r="P102" s="25" t="str"/>
    </x:row>
    <x:row r="103" ht="42" customHeight="1">
      <x:c r="A103" s="25" t="str"/>
      <x:c r="B103" s="25" t="str"/>
      <x:c r="C103" s="25" t="str"/>
      <x:c r="D103" s="25" t="str"/>
      <x:c r="E103" s="25" t="str"/>
      <x:c r="F103" s="25" t="str"/>
      <x:c r="G103" s="25" t="str"/>
      <x:c r="H103" s="25" t="str"/>
      <x:c r="I103" s="25" t="str"/>
      <x:c r="J103" s="25" t="str"/>
      <x:c r="K103" s="25" t="str"/>
      <x:c r="L103" s="25" t="str"/>
      <x:c r="M103" s="25" t="str"/>
      <x:c r="N103" s="31" t="str"/>
      <x:c r="O103" s="25" t="str"/>
      <x:c r="P103" s="25" t="str"/>
    </x:row>
    <x:row r="104" ht="42" customHeight="1">
      <x:c r="A104" s="25" t="str"/>
      <x:c r="B104" s="25" t="str"/>
      <x:c r="C104" s="25" t="str"/>
      <x:c r="D104" s="25" t="str"/>
      <x:c r="E104" s="25" t="str"/>
      <x:c r="F104" s="25" t="str"/>
      <x:c r="G104" s="25" t="str"/>
      <x:c r="H104" s="25" t="str"/>
      <x:c r="I104" s="25" t="str"/>
      <x:c r="J104" s="25" t="str"/>
      <x:c r="K104" s="25" t="str"/>
      <x:c r="L104" s="25" t="str"/>
      <x:c r="M104" s="25" t="str"/>
      <x:c r="N104" s="31" t="str"/>
      <x:c r="O104" s="25" t="str"/>
      <x:c r="P104" s="25" t="str"/>
    </x:row>
    <x:row r="105" ht="42" customHeight="1">
      <x:c r="A105" s="25" t="str"/>
      <x:c r="B105" s="25" t="str"/>
      <x:c r="C105" s="25" t="str"/>
      <x:c r="D105" s="25" t="str"/>
      <x:c r="E105" s="25" t="str"/>
      <x:c r="F105" s="25" t="str"/>
      <x:c r="G105" s="25" t="str"/>
      <x:c r="H105" s="25" t="str"/>
      <x:c r="I105" s="25" t="str"/>
      <x:c r="J105" s="25" t="str"/>
      <x:c r="K105" s="25" t="str"/>
      <x:c r="L105" s="25" t="str"/>
      <x:c r="M105" s="25" t="str"/>
      <x:c r="N105" s="31" t="str"/>
      <x:c r="O105" s="25" t="str"/>
      <x:c r="P105" s="25" t="str"/>
    </x:row>
    <x:row r="106" ht="42" customHeight="1">
      <x:c r="A106" s="25" t="str"/>
      <x:c r="B106" s="25" t="str"/>
      <x:c r="C106" s="25" t="str"/>
      <x:c r="D106" s="25" t="str"/>
      <x:c r="E106" s="25" t="str"/>
      <x:c r="F106" s="25" t="str"/>
      <x:c r="G106" s="25" t="str"/>
      <x:c r="H106" s="25" t="str"/>
      <x:c r="I106" s="25" t="str"/>
      <x:c r="J106" s="25" t="str"/>
      <x:c r="K106" s="25" t="str"/>
      <x:c r="L106" s="25" t="str"/>
      <x:c r="M106" s="25" t="str"/>
      <x:c r="N106" s="31" t="str"/>
      <x:c r="O106" s="25" t="str"/>
      <x:c r="P106" s="25" t="str"/>
    </x:row>
    <x:row r="107" ht="42" customHeight="1">
      <x:c r="A107" s="25" t="str"/>
      <x:c r="B107" s="25" t="str"/>
      <x:c r="C107" s="25" t="str"/>
      <x:c r="D107" s="25" t="str"/>
      <x:c r="E107" s="25" t="str"/>
      <x:c r="F107" s="25" t="str"/>
      <x:c r="G107" s="25" t="str"/>
      <x:c r="H107" s="25" t="str"/>
      <x:c r="I107" s="25" t="str"/>
      <x:c r="J107" s="25" t="str"/>
      <x:c r="K107" s="25" t="str"/>
      <x:c r="L107" s="25" t="str"/>
      <x:c r="M107" s="25" t="str"/>
      <x:c r="N107" s="31" t="str"/>
      <x:c r="O107" s="25" t="str"/>
      <x:c r="P107" s="25" t="str"/>
    </x:row>
    <x:row r="108" ht="42" customHeight="1">
      <x:c r="A108" s="25" t="str"/>
      <x:c r="B108" s="25" t="str"/>
      <x:c r="C108" s="25" t="str"/>
      <x:c r="D108" s="25" t="str"/>
      <x:c r="E108" s="25" t="str"/>
      <x:c r="F108" s="25" t="str"/>
      <x:c r="G108" s="25" t="str"/>
      <x:c r="H108" s="25" t="str"/>
      <x:c r="I108" s="25" t="str"/>
      <x:c r="J108" s="25" t="str"/>
      <x:c r="K108" s="25" t="str"/>
      <x:c r="L108" s="25" t="str"/>
      <x:c r="M108" s="25" t="str"/>
      <x:c r="N108" s="31" t="str"/>
      <x:c r="O108" s="25" t="str"/>
      <x:c r="P108" s="25" t="str"/>
    </x:row>
    <x:row r="109" ht="42" customHeight="1">
      <x:c r="A109" s="25" t="str"/>
      <x:c r="B109" s="25" t="str"/>
      <x:c r="C109" s="25" t="str"/>
      <x:c r="D109" s="25" t="str"/>
      <x:c r="E109" s="25" t="str"/>
      <x:c r="F109" s="25" t="str"/>
      <x:c r="G109" s="25" t="str"/>
      <x:c r="H109" s="25" t="str"/>
      <x:c r="I109" s="25" t="str"/>
      <x:c r="J109" s="25" t="str"/>
      <x:c r="K109" s="25" t="str"/>
      <x:c r="L109" s="25" t="str"/>
      <x:c r="M109" s="25" t="str"/>
      <x:c r="N109" s="31" t="str"/>
      <x:c r="O109" s="25" t="str"/>
      <x:c r="P109" s="25" t="str"/>
    </x:row>
    <x:row r="110" ht="42" customHeight="1">
      <x:c r="A110" s="25" t="str"/>
      <x:c r="B110" s="25" t="str"/>
      <x:c r="C110" s="25" t="str"/>
      <x:c r="D110" s="25" t="str"/>
      <x:c r="E110" s="25" t="str"/>
      <x:c r="F110" s="25" t="str"/>
      <x:c r="G110" s="25" t="str"/>
      <x:c r="H110" s="25" t="str"/>
      <x:c r="I110" s="25" t="str"/>
      <x:c r="J110" s="25" t="str"/>
      <x:c r="K110" s="25" t="str"/>
      <x:c r="L110" s="25" t="str"/>
      <x:c r="M110" s="25" t="str"/>
      <x:c r="N110" s="31" t="str"/>
      <x:c r="O110" s="25" t="str"/>
      <x:c r="P110" s="25" t="str"/>
    </x:row>
    <x:row r="111" ht="42" customHeight="1">
      <x:c r="A111" s="25" t="str"/>
      <x:c r="B111" s="25" t="str"/>
      <x:c r="C111" s="25" t="str"/>
      <x:c r="D111" s="25" t="str"/>
      <x:c r="E111" s="25" t="str"/>
      <x:c r="F111" s="25" t="str"/>
      <x:c r="G111" s="25" t="str"/>
      <x:c r="H111" s="25" t="str"/>
      <x:c r="I111" s="25" t="str"/>
      <x:c r="J111" s="25" t="str"/>
      <x:c r="K111" s="25" t="str"/>
      <x:c r="L111" s="25" t="str"/>
      <x:c r="M111" s="25" t="str"/>
      <x:c r="N111" s="31" t="str"/>
      <x:c r="O111" s="25" t="str"/>
      <x:c r="P111" s="25" t="str"/>
    </x:row>
    <x:row r="112" ht="42" customHeight="1">
      <x:c r="A112" s="25" t="str"/>
      <x:c r="B112" s="25" t="str"/>
      <x:c r="C112" s="25" t="str"/>
      <x:c r="D112" s="25" t="str"/>
      <x:c r="E112" s="25" t="str"/>
      <x:c r="F112" s="25" t="str"/>
      <x:c r="G112" s="25" t="str"/>
      <x:c r="H112" s="25" t="str"/>
      <x:c r="I112" s="25" t="str"/>
      <x:c r="J112" s="25" t="str"/>
      <x:c r="K112" s="25" t="str"/>
      <x:c r="L112" s="25" t="str"/>
      <x:c r="M112" s="25" t="str"/>
      <x:c r="N112" s="31" t="str"/>
      <x:c r="O112" s="25" t="str"/>
      <x:c r="P112" s="25" t="str"/>
    </x:row>
    <x:row r="113" ht="42" customHeight="1">
      <x:c r="A113" s="25" t="str"/>
      <x:c r="B113" s="25" t="str"/>
      <x:c r="C113" s="25" t="str"/>
      <x:c r="D113" s="25" t="str"/>
      <x:c r="E113" s="25" t="str"/>
      <x:c r="F113" s="25" t="str"/>
      <x:c r="G113" s="25" t="str"/>
      <x:c r="H113" s="25" t="str"/>
      <x:c r="I113" s="25" t="str"/>
      <x:c r="J113" s="25" t="str"/>
      <x:c r="K113" s="25" t="str"/>
      <x:c r="L113" s="25" t="str"/>
      <x:c r="M113" s="25" t="str"/>
      <x:c r="N113" s="31" t="str"/>
      <x:c r="O113" s="25" t="str"/>
      <x:c r="P113" s="25" t="str"/>
    </x:row>
    <x:row r="114" ht="42" customHeight="1">
      <x:c r="A114" s="25" t="str"/>
      <x:c r="B114" s="25" t="str"/>
      <x:c r="C114" s="25" t="str"/>
      <x:c r="D114" s="25" t="str"/>
      <x:c r="E114" s="25" t="str"/>
      <x:c r="F114" s="25" t="str"/>
      <x:c r="G114" s="25" t="str"/>
      <x:c r="H114" s="25" t="str"/>
      <x:c r="I114" s="25" t="str"/>
      <x:c r="J114" s="25" t="str"/>
      <x:c r="K114" s="25" t="str"/>
      <x:c r="L114" s="25" t="str"/>
      <x:c r="M114" s="25" t="str"/>
      <x:c r="N114" s="31" t="str"/>
      <x:c r="O114" s="25" t="str"/>
      <x:c r="P114" s="25" t="str"/>
    </x:row>
    <x:row r="115" ht="42" customHeight="1">
      <x:c r="A115" s="25" t="str"/>
      <x:c r="B115" s="25" t="str"/>
      <x:c r="C115" s="25" t="str"/>
      <x:c r="D115" s="25" t="str"/>
      <x:c r="E115" s="25" t="str"/>
      <x:c r="F115" s="25" t="str"/>
      <x:c r="G115" s="25" t="str"/>
      <x:c r="H115" s="25" t="str"/>
      <x:c r="I115" s="25" t="str"/>
      <x:c r="J115" s="25" t="str"/>
      <x:c r="K115" s="25" t="str"/>
      <x:c r="L115" s="25" t="str"/>
      <x:c r="M115" s="25" t="str"/>
      <x:c r="N115" s="31" t="str"/>
      <x:c r="O115" s="25" t="str"/>
      <x:c r="P115" s="25" t="str"/>
    </x:row>
    <x:row r="116" ht="42" customHeight="1">
      <x:c r="A116" s="25" t="str"/>
      <x:c r="B116" s="25" t="str"/>
      <x:c r="C116" s="25" t="str"/>
      <x:c r="D116" s="25" t="str"/>
      <x:c r="E116" s="25" t="str"/>
      <x:c r="F116" s="25" t="str"/>
      <x:c r="G116" s="25" t="str"/>
      <x:c r="H116" s="25" t="str"/>
      <x:c r="I116" s="25" t="str"/>
      <x:c r="J116" s="25" t="str"/>
      <x:c r="K116" s="25" t="str"/>
      <x:c r="L116" s="25" t="str"/>
      <x:c r="M116" s="25" t="str"/>
      <x:c r="N116" s="31" t="str"/>
      <x:c r="O116" s="25" t="str"/>
      <x:c r="P116" s="25" t="str"/>
    </x:row>
    <x:row r="117" ht="42" customHeight="1">
      <x:c r="A117" s="25" t="str"/>
      <x:c r="B117" s="25" t="str"/>
      <x:c r="C117" s="25" t="str"/>
      <x:c r="D117" s="25" t="str"/>
      <x:c r="E117" s="25" t="str"/>
      <x:c r="F117" s="25" t="str"/>
      <x:c r="G117" s="25" t="str"/>
      <x:c r="H117" s="25" t="str"/>
      <x:c r="I117" s="25" t="str"/>
      <x:c r="J117" s="25" t="str"/>
      <x:c r="K117" s="25" t="str"/>
      <x:c r="L117" s="25" t="str"/>
      <x:c r="M117" s="25" t="str"/>
      <x:c r="N117" s="31" t="str"/>
      <x:c r="O117" s="25" t="str"/>
      <x:c r="P117" s="25" t="str"/>
    </x:row>
    <x:row r="118" ht="42" customHeight="1">
      <x:c r="A118" s="25" t="str"/>
      <x:c r="B118" s="25" t="str"/>
      <x:c r="C118" s="25" t="str"/>
      <x:c r="D118" s="25" t="str"/>
      <x:c r="E118" s="25" t="str"/>
      <x:c r="F118" s="25" t="str"/>
      <x:c r="G118" s="25" t="str"/>
      <x:c r="H118" s="25" t="str"/>
      <x:c r="I118" s="25" t="str"/>
      <x:c r="J118" s="25" t="str"/>
      <x:c r="K118" s="25" t="str"/>
      <x:c r="L118" s="25" t="str"/>
      <x:c r="M118" s="25" t="str"/>
      <x:c r="N118" s="31" t="str"/>
      <x:c r="O118" s="25" t="str"/>
      <x:c r="P118" s="25" t="str"/>
    </x:row>
    <x:row r="119" ht="42" customHeight="1">
      <x:c r="A119" s="25" t="str"/>
      <x:c r="B119" s="25" t="str"/>
      <x:c r="C119" s="25" t="str"/>
      <x:c r="D119" s="25" t="str"/>
      <x:c r="E119" s="25" t="str"/>
      <x:c r="F119" s="25" t="str"/>
      <x:c r="G119" s="25" t="str"/>
      <x:c r="H119" s="25" t="str"/>
      <x:c r="I119" s="25" t="str"/>
      <x:c r="J119" s="25" t="str"/>
      <x:c r="K119" s="25" t="str"/>
      <x:c r="L119" s="25" t="str"/>
      <x:c r="M119" s="25" t="str"/>
      <x:c r="N119" s="31" t="str"/>
      <x:c r="O119" s="25" t="str"/>
      <x:c r="P119" s="25" t="str"/>
    </x:row>
    <x:row r="120" ht="42" customHeight="1">
      <x:c r="A120" s="25" t="str"/>
      <x:c r="B120" s="25" t="str"/>
      <x:c r="C120" s="25" t="str"/>
      <x:c r="D120" s="25" t="str"/>
      <x:c r="E120" s="25" t="str"/>
      <x:c r="F120" s="25" t="str"/>
      <x:c r="G120" s="25" t="str"/>
      <x:c r="H120" s="25" t="str"/>
      <x:c r="I120" s="25" t="str"/>
      <x:c r="J120" s="25" t="str"/>
      <x:c r="K120" s="25" t="str"/>
      <x:c r="L120" s="25" t="str"/>
      <x:c r="M120" s="25" t="str"/>
      <x:c r="N120" s="31" t="str"/>
      <x:c r="O120" s="25" t="str"/>
      <x:c r="P120" s="25" t="str"/>
    </x:row>
    <x:row r="121" ht="42" customHeight="1">
      <x:c r="A121" s="25" t="str"/>
      <x:c r="B121" s="25" t="str"/>
      <x:c r="C121" s="25" t="str"/>
      <x:c r="D121" s="25" t="str"/>
      <x:c r="E121" s="25" t="str"/>
      <x:c r="F121" s="25" t="str"/>
      <x:c r="G121" s="25" t="str"/>
      <x:c r="H121" s="25" t="str"/>
      <x:c r="I121" s="25" t="str"/>
      <x:c r="J121" s="25" t="str"/>
      <x:c r="K121" s="25" t="str"/>
      <x:c r="L121" s="25" t="str"/>
      <x:c r="M121" s="25" t="str"/>
      <x:c r="N121" s="31" t="str"/>
      <x:c r="O121" s="25" t="str"/>
      <x:c r="P121" s="25" t="str"/>
    </x:row>
    <x:row r="122" ht="42" customHeight="1">
      <x:c r="A122" s="25" t="str"/>
      <x:c r="B122" s="25" t="str"/>
      <x:c r="C122" s="25" t="str"/>
      <x:c r="D122" s="25" t="str"/>
      <x:c r="E122" s="25" t="str"/>
      <x:c r="F122" s="25" t="str"/>
      <x:c r="G122" s="25" t="str"/>
      <x:c r="H122" s="25" t="str"/>
      <x:c r="I122" s="25" t="str"/>
      <x:c r="J122" s="25" t="str"/>
      <x:c r="K122" s="25" t="str"/>
      <x:c r="L122" s="25" t="str"/>
      <x:c r="M122" s="25" t="str"/>
      <x:c r="N122" s="31" t="str"/>
      <x:c r="O122" s="25" t="str"/>
      <x:c r="P122" s="25" t="str"/>
    </x:row>
    <x:row r="123" ht="42" customHeight="1">
      <x:c r="A123" s="25" t="str"/>
      <x:c r="B123" s="25" t="str"/>
      <x:c r="C123" s="25" t="str"/>
      <x:c r="D123" s="25" t="str"/>
      <x:c r="E123" s="25" t="str"/>
      <x:c r="F123" s="25" t="str"/>
      <x:c r="G123" s="25" t="str"/>
      <x:c r="H123" s="25" t="str"/>
      <x:c r="I123" s="25" t="str"/>
      <x:c r="J123" s="25" t="str"/>
      <x:c r="K123" s="25" t="str"/>
      <x:c r="L123" s="25" t="str"/>
      <x:c r="M123" s="25" t="str"/>
      <x:c r="N123" s="31" t="str"/>
      <x:c r="O123" s="25" t="str"/>
      <x:c r="P123" s="25" t="str"/>
    </x:row>
    <x:row r="124" ht="42" customHeight="1">
      <x:c r="A124" s="25" t="str"/>
      <x:c r="B124" s="25" t="str"/>
      <x:c r="C124" s="25" t="str"/>
      <x:c r="D124" s="25" t="str"/>
      <x:c r="E124" s="25" t="str"/>
      <x:c r="F124" s="25" t="str"/>
      <x:c r="G124" s="25" t="str"/>
      <x:c r="H124" s="25" t="str"/>
      <x:c r="I124" s="25" t="str"/>
      <x:c r="J124" s="25" t="str"/>
      <x:c r="K124" s="25" t="str"/>
      <x:c r="L124" s="25" t="str"/>
      <x:c r="M124" s="25" t="str"/>
      <x:c r="N124" s="31" t="str"/>
      <x:c r="O124" s="25" t="str"/>
      <x:c r="P124" s="25" t="str"/>
    </x:row>
  </x:sheetData>
  <x:mergeCells>
    <x:mergeCell ref="A1:H1"/>
    <x:mergeCell ref="A2:H2"/>
  </x:mergeCells>
  <x:dataValidations count="2">
    <x:dataValidation type="list" sqref="B5:B124">
      <x:formula1>"Report setup,Report care,Site monitor,Toolkit,Other"</x:formula1>
    </x:dataValidation>
    <x:dataValidation type="list" sqref="O5:O124">
      <x:formula1>"Not launched,Pilot,Healthy,Attention,Paused"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f121530b004702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32" customHeight="1">
      <x:c r="A1" s="3" t="str">
        <x:v>CENTRAL BUSINESS DASHBOARD — ACTUALS ONLY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Template only: nothing is connected to live accounts. Import deduplicated ledger and monthly operations records before using metrics.</x:v>
      </x:c>
      <x:c r="B2" s="7"/>
      <x:c r="C2" s="7"/>
      <x:c r="D2" s="7"/>
      <x:c r="E2" s="7"/>
      <x:c r="F2" s="7"/>
      <x:c r="G2" s="7"/>
      <x:c r="H2" s="7"/>
    </x:row>
    <x:row r="4">
      <x:c r="A4" t="str">
        <x:v>Selected month</x:v>
      </x:c>
      <x:c r="B4" s="87" t="str">
        <x:v>2026-10</x:v>
      </x:c>
      <x:c r="D4" t="str">
        <x:v>Previous month</x:v>
      </x:c>
      <x:c r="E4" s="87" t="str">
        <x:v>2026-09</x:v>
      </x:c>
    </x:row>
    <x:row r="7" ht="48" customHeight="1">
      <x:c r="A7" s="90" t="str">
        <x:v>Business</x:v>
      </x:c>
      <x:c r="B7" s="90" t="str">
        <x:v>Revenue</x:v>
      </x:c>
      <x:c r="C7" s="90" t="str">
        <x:v>Costs + refunds</x:v>
      </x:c>
      <x:c r="D7" s="90" t="str">
        <x:v>Operating profit</x:v>
      </x:c>
      <x:c r="E7" s="90" t="str">
        <x:v>MRR</x:v>
      </x:c>
      <x:c r="F7" s="90" t="str">
        <x:v>Active customers</x:v>
      </x:c>
      <x:c r="G7" s="90" t="str">
        <x:v>Owner hours</x:v>
      </x:c>
      <x:c r="H7" s="90" t="str">
        <x:v>Profit / owner h</x:v>
      </x:c>
      <x:c r="I7" s="90" t="str">
        <x:v>New-customer conversion</x:v>
      </x:c>
      <x:c r="J7" s="90" t="str">
        <x:v>Automation</x:v>
      </x:c>
      <x:c r="K7" s="90" t="str">
        <x:v>Failed runs</x:v>
      </x:c>
      <x:c r="L7" s="90" t="str">
        <x:v>Run success</x:v>
      </x:c>
      <x:c r="M7" s="90" t="str">
        <x:v>Action</x:v>
      </x:c>
    </x:row>
    <x:row r="8" ht="36" customHeight="1">
      <x:c r="A8" s="22" t="str">
        <x:v>Report setup</x:v>
      </x:c>
      <x:c r="B8" s="93" t="n">
        <x:f>SUMIFS(Actuals!$E$5:$E$204,Actuals!$B$5:$B$204,$B$4,Actuals!$C$5:$C$204,$A8,Actuals!$D$5:$D$204,"Revenue")</x:f>
        <x:v>0</x:v>
      </x:c>
      <x:c r="C8" s="93" t="n">
        <x:f>SUMIFS(Actuals!$E$5:$E$204,Actuals!$B$5:$B$204,$B$4,Actuals!$C$5:$C$204,$A8,Actuals!$D$5:$D$204,"Operating cost")+SUMIFS(Actuals!$E$5:$E$204,Actuals!$B$5:$B$204,$B$4,Actuals!$C$5:$C$204,$A8,Actuals!$D$5:$D$204,"Refund")</x:f>
        <x:v>0</x:v>
      </x:c>
      <x:c r="D8" s="93" t="n">
        <x:f>B8-C8</x:f>
        <x:v>0</x:v>
      </x:c>
      <x:c r="E8" s="93" t="n">
        <x:f>SUMIFS(Operations!$F$5:$F$124,Operations!$A$5:$A$124,$B$4,Operations!$B$5:$B$124,$A8)</x:f>
        <x:v>0</x:v>
      </x:c>
      <x:c r="F8" s="22" t="n">
        <x:f>SUMIFS(Operations!$C$5:$C$124,Operations!$A$5:$A$124,$B$4,Operations!$B$5:$B$124,$A8)</x:f>
        <x:v>0</x:v>
      </x:c>
      <x:c r="G8" s="22" t="n">
        <x:f>SUMIFS(Operations!$M$5:$M$124,Operations!$A$5:$A$124,$B$4,Operations!$B$5:$B$124,$A8)</x:f>
        <x:v>0</x:v>
      </x:c>
      <x:c r="H8" s="93" t="n">
        <x:f>IFERROR(D8/G8,0)</x:f>
        <x:v>0</x:v>
      </x:c>
      <x:c r="I8" s="97" t="n">
        <x:f>IFERROR(SUMIFS(Operations!$H$5:$H$124,Operations!$A$5:$A$124,$B$4,Operations!$B$5:$B$124,$A8)/SUMIFS(Operations!$G$5:$G$124,Operations!$A$5:$A$124,$B$4,Operations!$B$5:$B$124,$A8),0)</x:f>
        <x:v>0</x:v>
      </x:c>
      <x:c r="J8" s="97" t="n">
        <x:f>IFERROR(SUMIFS(Operations!$N$5:$N$124,Operations!$A$5:$A$124,$B$4,Operations!$B$5:$B$124,$A8)/COUNTIFS(Operations!$A$5:$A$124,$B$4,Operations!$B$5:$B$124,$A8),0)</x:f>
        <x:v>0</x:v>
      </x:c>
      <x:c r="K8" s="22" t="n">
        <x:f>SUMIFS(Operations!$K$5:$K$124,Operations!$A$5:$A$124,$B$4,Operations!$B$5:$B$124,$A8)</x:f>
        <x:v>0</x:v>
      </x:c>
      <x:c r="L8" s="97" t="n">
        <x:f>IFERROR(1-SUMIFS(Operations!$K$5:$K$124,Operations!$A$5:$A$124,$B$4,Operations!$B$5:$B$124,$A8)/SUMIFS(Operations!$L$5:$L$124,Operations!$A$5:$A$124,$B$4,Operations!$B$5:$B$124,$A8),0)</x:f>
        <x:v>0</x:v>
      </x:c>
      <x:c r="M8" s="22" t="str">
        <x:f>IF(B8=0,"Validate paid demand",IF(D8&lt;0,"Fix unit margin",IF(K8&gt;0,"Review failures",IF(G8=0,"Log owner time","Review retention / CAC"))))</x:f>
        <x:v>Validate paid demand</x:v>
      </x:c>
    </x:row>
    <x:row r="9" ht="36" customHeight="1">
      <x:c r="A9" s="22" t="str">
        <x:v>Report care</x:v>
      </x:c>
      <x:c r="B9" s="93" t="n">
        <x:f>SUMIFS(Actuals!$E$5:$E$204,Actuals!$B$5:$B$204,$B$4,Actuals!$C$5:$C$204,$A9,Actuals!$D$5:$D$204,"Revenue")</x:f>
        <x:v>0</x:v>
      </x:c>
      <x:c r="C9" s="93" t="n">
        <x:f>SUMIFS(Actuals!$E$5:$E$204,Actuals!$B$5:$B$204,$B$4,Actuals!$C$5:$C$204,$A9,Actuals!$D$5:$D$204,"Operating cost")+SUMIFS(Actuals!$E$5:$E$204,Actuals!$B$5:$B$204,$B$4,Actuals!$C$5:$C$204,$A9,Actuals!$D$5:$D$204,"Refund")</x:f>
        <x:v>0</x:v>
      </x:c>
      <x:c r="D9" s="93" t="n">
        <x:f>B9-C9</x:f>
        <x:v>0</x:v>
      </x:c>
      <x:c r="E9" s="93" t="n">
        <x:f>SUMIFS(Operations!$F$5:$F$124,Operations!$A$5:$A$124,$B$4,Operations!$B$5:$B$124,$A9)</x:f>
        <x:v>0</x:v>
      </x:c>
      <x:c r="F9" s="22" t="n">
        <x:f>SUMIFS(Operations!$C$5:$C$124,Operations!$A$5:$A$124,$B$4,Operations!$B$5:$B$124,$A9)</x:f>
        <x:v>0</x:v>
      </x:c>
      <x:c r="G9" s="22" t="n">
        <x:f>SUMIFS(Operations!$M$5:$M$124,Operations!$A$5:$A$124,$B$4,Operations!$B$5:$B$124,$A9)</x:f>
        <x:v>0</x:v>
      </x:c>
      <x:c r="H9" s="93" t="n">
        <x:f>IFERROR(D9/G9,0)</x:f>
        <x:v>0</x:v>
      </x:c>
      <x:c r="I9" s="97" t="n">
        <x:f>IFERROR(SUMIFS(Operations!$H$5:$H$124,Operations!$A$5:$A$124,$B$4,Operations!$B$5:$B$124,$A9)/SUMIFS(Operations!$G$5:$G$124,Operations!$A$5:$A$124,$B$4,Operations!$B$5:$B$124,$A9),0)</x:f>
        <x:v>0</x:v>
      </x:c>
      <x:c r="J9" s="97" t="n">
        <x:f>IFERROR(SUMIFS(Operations!$N$5:$N$124,Operations!$A$5:$A$124,$B$4,Operations!$B$5:$B$124,$A9)/COUNTIFS(Operations!$A$5:$A$124,$B$4,Operations!$B$5:$B$124,$A9),0)</x:f>
        <x:v>0</x:v>
      </x:c>
      <x:c r="K9" s="22" t="n">
        <x:f>SUMIFS(Operations!$K$5:$K$124,Operations!$A$5:$A$124,$B$4,Operations!$B$5:$B$124,$A9)</x:f>
        <x:v>0</x:v>
      </x:c>
      <x:c r="L9" s="97" t="n">
        <x:f>IFERROR(1-SUMIFS(Operations!$K$5:$K$124,Operations!$A$5:$A$124,$B$4,Operations!$B$5:$B$124,$A9)/SUMIFS(Operations!$L$5:$L$124,Operations!$A$5:$A$124,$B$4,Operations!$B$5:$B$124,$A9),0)</x:f>
        <x:v>0</x:v>
      </x:c>
      <x:c r="M9" s="22" t="str">
        <x:f>IF(B9=0,"Validate paid demand",IF(D9&lt;0,"Fix unit margin",IF(K9&gt;0,"Review failures",IF(G9=0,"Log owner time","Review retention / CAC"))))</x:f>
        <x:v>Validate paid demand</x:v>
      </x:c>
    </x:row>
    <x:row r="10" ht="36" customHeight="1">
      <x:c r="A10" s="22" t="str">
        <x:v>Site monitor</x:v>
      </x:c>
      <x:c r="B10" s="93" t="n">
        <x:f>SUMIFS(Actuals!$E$5:$E$204,Actuals!$B$5:$B$204,$B$4,Actuals!$C$5:$C$204,$A10,Actuals!$D$5:$D$204,"Revenue")</x:f>
        <x:v>0</x:v>
      </x:c>
      <x:c r="C10" s="93" t="n">
        <x:f>SUMIFS(Actuals!$E$5:$E$204,Actuals!$B$5:$B$204,$B$4,Actuals!$C$5:$C$204,$A10,Actuals!$D$5:$D$204,"Operating cost")+SUMIFS(Actuals!$E$5:$E$204,Actuals!$B$5:$B$204,$B$4,Actuals!$C$5:$C$204,$A10,Actuals!$D$5:$D$204,"Refund")</x:f>
        <x:v>0</x:v>
      </x:c>
      <x:c r="D10" s="93" t="n">
        <x:f>B10-C10</x:f>
        <x:v>0</x:v>
      </x:c>
      <x:c r="E10" s="93" t="n">
        <x:f>SUMIFS(Operations!$F$5:$F$124,Operations!$A$5:$A$124,$B$4,Operations!$B$5:$B$124,$A10)</x:f>
        <x:v>0</x:v>
      </x:c>
      <x:c r="F10" s="22" t="n">
        <x:f>SUMIFS(Operations!$C$5:$C$124,Operations!$A$5:$A$124,$B$4,Operations!$B$5:$B$124,$A10)</x:f>
        <x:v>0</x:v>
      </x:c>
      <x:c r="G10" s="22" t="n">
        <x:f>SUMIFS(Operations!$M$5:$M$124,Operations!$A$5:$A$124,$B$4,Operations!$B$5:$B$124,$A10)</x:f>
        <x:v>0</x:v>
      </x:c>
      <x:c r="H10" s="93" t="n">
        <x:f>IFERROR(D10/G10,0)</x:f>
        <x:v>0</x:v>
      </x:c>
      <x:c r="I10" s="97" t="n">
        <x:f>IFERROR(SUMIFS(Operations!$H$5:$H$124,Operations!$A$5:$A$124,$B$4,Operations!$B$5:$B$124,$A10)/SUMIFS(Operations!$G$5:$G$124,Operations!$A$5:$A$124,$B$4,Operations!$B$5:$B$124,$A10),0)</x:f>
        <x:v>0</x:v>
      </x:c>
      <x:c r="J10" s="97" t="n">
        <x:f>IFERROR(SUMIFS(Operations!$N$5:$N$124,Operations!$A$5:$A$124,$B$4,Operations!$B$5:$B$124,$A10)/COUNTIFS(Operations!$A$5:$A$124,$B$4,Operations!$B$5:$B$124,$A10),0)</x:f>
        <x:v>0</x:v>
      </x:c>
      <x:c r="K10" s="22" t="n">
        <x:f>SUMIFS(Operations!$K$5:$K$124,Operations!$A$5:$A$124,$B$4,Operations!$B$5:$B$124,$A10)</x:f>
        <x:v>0</x:v>
      </x:c>
      <x:c r="L10" s="97" t="n">
        <x:f>IFERROR(1-SUMIFS(Operations!$K$5:$K$124,Operations!$A$5:$A$124,$B$4,Operations!$B$5:$B$124,$A10)/SUMIFS(Operations!$L$5:$L$124,Operations!$A$5:$A$124,$B$4,Operations!$B$5:$B$124,$A10),0)</x:f>
        <x:v>0</x:v>
      </x:c>
      <x:c r="M10" s="22" t="str">
        <x:f>IF(B10=0,"Validate paid demand",IF(D10&lt;0,"Fix unit margin",IF(K10&gt;0,"Review failures",IF(G10=0,"Log owner time","Review retention / CAC"))))</x:f>
        <x:v>Validate paid demand</x:v>
      </x:c>
    </x:row>
    <x:row r="11" ht="36" customHeight="1">
      <x:c r="A11" s="22" t="str">
        <x:v>Toolkit</x:v>
      </x:c>
      <x:c r="B11" s="93" t="n">
        <x:f>SUMIFS(Actuals!$E$5:$E$204,Actuals!$B$5:$B$204,$B$4,Actuals!$C$5:$C$204,$A11,Actuals!$D$5:$D$204,"Revenue")</x:f>
        <x:v>0</x:v>
      </x:c>
      <x:c r="C11" s="93" t="n">
        <x:f>SUMIFS(Actuals!$E$5:$E$204,Actuals!$B$5:$B$204,$B$4,Actuals!$C$5:$C$204,$A11,Actuals!$D$5:$D$204,"Operating cost")+SUMIFS(Actuals!$E$5:$E$204,Actuals!$B$5:$B$204,$B$4,Actuals!$C$5:$C$204,$A11,Actuals!$D$5:$D$204,"Refund")</x:f>
        <x:v>0</x:v>
      </x:c>
      <x:c r="D11" s="93" t="n">
        <x:f>B11-C11</x:f>
        <x:v>0</x:v>
      </x:c>
      <x:c r="E11" s="93" t="n">
        <x:f>SUMIFS(Operations!$F$5:$F$124,Operations!$A$5:$A$124,$B$4,Operations!$B$5:$B$124,$A11)</x:f>
        <x:v>0</x:v>
      </x:c>
      <x:c r="F11" s="22" t="n">
        <x:f>SUMIFS(Operations!$C$5:$C$124,Operations!$A$5:$A$124,$B$4,Operations!$B$5:$B$124,$A11)</x:f>
        <x:v>0</x:v>
      </x:c>
      <x:c r="G11" s="22" t="n">
        <x:f>SUMIFS(Operations!$M$5:$M$124,Operations!$A$5:$A$124,$B$4,Operations!$B$5:$B$124,$A11)</x:f>
        <x:v>0</x:v>
      </x:c>
      <x:c r="H11" s="93" t="n">
        <x:f>IFERROR(D11/G11,0)</x:f>
        <x:v>0</x:v>
      </x:c>
      <x:c r="I11" s="97" t="n">
        <x:f>IFERROR(SUMIFS(Operations!$H$5:$H$124,Operations!$A$5:$A$124,$B$4,Operations!$B$5:$B$124,$A11)/SUMIFS(Operations!$G$5:$G$124,Operations!$A$5:$A$124,$B$4,Operations!$B$5:$B$124,$A11),0)</x:f>
        <x:v>0</x:v>
      </x:c>
      <x:c r="J11" s="97" t="n">
        <x:f>IFERROR(SUMIFS(Operations!$N$5:$N$124,Operations!$A$5:$A$124,$B$4,Operations!$B$5:$B$124,$A11)/COUNTIFS(Operations!$A$5:$A$124,$B$4,Operations!$B$5:$B$124,$A11),0)</x:f>
        <x:v>0</x:v>
      </x:c>
      <x:c r="K11" s="22" t="n">
        <x:f>SUMIFS(Operations!$K$5:$K$124,Operations!$A$5:$A$124,$B$4,Operations!$B$5:$B$124,$A11)</x:f>
        <x:v>0</x:v>
      </x:c>
      <x:c r="L11" s="97" t="n">
        <x:f>IFERROR(1-SUMIFS(Operations!$K$5:$K$124,Operations!$A$5:$A$124,$B$4,Operations!$B$5:$B$124,$A11)/SUMIFS(Operations!$L$5:$L$124,Operations!$A$5:$A$124,$B$4,Operations!$B$5:$B$124,$A11),0)</x:f>
        <x:v>0</x:v>
      </x:c>
      <x:c r="M11" s="22" t="str">
        <x:f>IF(B11=0,"Validate paid demand",IF(D11&lt;0,"Fix unit margin",IF(K11&gt;0,"Review failures",IF(G11=0,"Log owner time","Review retention / CAC"))))</x:f>
        <x:v>Validate paid demand</x:v>
      </x:c>
    </x:row>
    <x:row r="12" ht="36" customHeight="1">
      <x:c r="A12" s="22" t="str">
        <x:v>Other</x:v>
      </x:c>
      <x:c r="B12" s="93" t="n">
        <x:f>SUMIFS(Actuals!$E$5:$E$204,Actuals!$B$5:$B$204,$B$4,Actuals!$C$5:$C$204,$A12,Actuals!$D$5:$D$204,"Revenue")</x:f>
        <x:v>0</x:v>
      </x:c>
      <x:c r="C12" s="93" t="n">
        <x:f>SUMIFS(Actuals!$E$5:$E$204,Actuals!$B$5:$B$204,$B$4,Actuals!$C$5:$C$204,$A12,Actuals!$D$5:$D$204,"Operating cost")+SUMIFS(Actuals!$E$5:$E$204,Actuals!$B$5:$B$204,$B$4,Actuals!$C$5:$C$204,$A12,Actuals!$D$5:$D$204,"Refund")</x:f>
        <x:v>0</x:v>
      </x:c>
      <x:c r="D12" s="93" t="n">
        <x:f>B12-C12</x:f>
        <x:v>0</x:v>
      </x:c>
      <x:c r="E12" s="93" t="n">
        <x:f>SUMIFS(Operations!$F$5:$F$124,Operations!$A$5:$A$124,$B$4,Operations!$B$5:$B$124,$A12)</x:f>
        <x:v>0</x:v>
      </x:c>
      <x:c r="F12" s="22" t="n">
        <x:f>SUMIFS(Operations!$C$5:$C$124,Operations!$A$5:$A$124,$B$4,Operations!$B$5:$B$124,$A12)</x:f>
        <x:v>0</x:v>
      </x:c>
      <x:c r="G12" s="22" t="n">
        <x:f>SUMIFS(Operations!$M$5:$M$124,Operations!$A$5:$A$124,$B$4,Operations!$B$5:$B$124,$A12)</x:f>
        <x:v>0</x:v>
      </x:c>
      <x:c r="H12" s="93" t="n">
        <x:f>IFERROR(D12/G12,0)</x:f>
        <x:v>0</x:v>
      </x:c>
      <x:c r="I12" s="97" t="n">
        <x:f>IFERROR(SUMIFS(Operations!$H$5:$H$124,Operations!$A$5:$A$124,$B$4,Operations!$B$5:$B$124,$A12)/SUMIFS(Operations!$G$5:$G$124,Operations!$A$5:$A$124,$B$4,Operations!$B$5:$B$124,$A12),0)</x:f>
        <x:v>0</x:v>
      </x:c>
      <x:c r="J12" s="97" t="n">
        <x:f>IFERROR(SUMIFS(Operations!$N$5:$N$124,Operations!$A$5:$A$124,$B$4,Operations!$B$5:$B$124,$A12)/COUNTIFS(Operations!$A$5:$A$124,$B$4,Operations!$B$5:$B$124,$A12),0)</x:f>
        <x:v>0</x:v>
      </x:c>
      <x:c r="K12" s="22" t="n">
        <x:f>SUMIFS(Operations!$K$5:$K$124,Operations!$A$5:$A$124,$B$4,Operations!$B$5:$B$124,$A12)</x:f>
        <x:v>0</x:v>
      </x:c>
      <x:c r="L12" s="97" t="n">
        <x:f>IFERROR(1-SUMIFS(Operations!$K$5:$K$124,Operations!$A$5:$A$124,$B$4,Operations!$B$5:$B$124,$A12)/SUMIFS(Operations!$L$5:$L$124,Operations!$A$5:$A$124,$B$4,Operations!$B$5:$B$124,$A12),0)</x:f>
        <x:v>0</x:v>
      </x:c>
      <x:c r="M12" s="22" t="str">
        <x:f>IF(B12=0,"Validate paid demand",IF(D12&lt;0,"Fix unit margin",IF(K12&gt;0,"Review failures",IF(G12=0,"Log owner time","Review retention / CAC"))))</x:f>
        <x:v>Validate paid demand</x:v>
      </x:c>
    </x:row>
    <x:row r="13">
      <x:c r="B13" s="94"/>
      <x:c r="C13" s="94"/>
      <x:c r="D13" s="94"/>
      <x:c r="E13" s="94"/>
      <x:c r="H13" s="94"/>
    </x:row>
    <x:row r="14">
      <x:c r="A14" s="101" t="str">
        <x:v>TOTAL</x:v>
      </x:c>
      <x:c r="B14" s="102" t="n">
        <x:f>SUM(B8:B12)</x:f>
        <x:v>0</x:v>
      </x:c>
      <x:c r="C14" s="102" t="n">
        <x:f>SUM(C8:C12)</x:f>
        <x:v>0</x:v>
      </x:c>
      <x:c r="D14" s="102" t="n">
        <x:f>SUM(D8:D12)</x:f>
        <x:v>0</x:v>
      </x:c>
      <x:c r="E14" s="102" t="n">
        <x:f>SUM(E8:E12)</x:f>
        <x:v>0</x:v>
      </x:c>
      <x:c r="F14" s="101" t="n">
        <x:f>SUM(F8:F12)</x:f>
        <x:v>0</x:v>
      </x:c>
      <x:c r="G14" s="101" t="n">
        <x:f>SUM(G8:G12)</x:f>
        <x:v>0</x:v>
      </x:c>
      <x:c r="H14" s="102" t="n">
        <x:f>IFERROR(D14/G14,0)</x:f>
        <x:v>0</x:v>
      </x:c>
      <x:c r="I14" s="101"/>
      <x:c r="J14" s="101"/>
      <x:c r="K14" s="101" t="n">
        <x:f>SUM(K8:K12)</x:f>
        <x:v>0</x:v>
      </x:c>
      <x:c r="L14" s="101"/>
      <x:c r="M14" s="101"/>
    </x:row>
    <x:row r="17" ht="30" customHeight="1">
      <x:c r="A17" s="15" t="str">
        <x:v>Zero metrics mean no imported actuals, not a verified zero-dollar operating business. Never add processor payouts to revenue. Revenue excludes sales taxes; costs must include platform fees, software, marketing, refunds and paid help. Customer totals across offers are not unique-person counts.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</x:row>
    <x:row r="18" ht="30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</x:row>
    <x:row r="22" ht="48" customHeight="1">
      <x:c r="A22" s="90" t="str">
        <x:v>Business</x:v>
      </x:c>
      <x:c r="B22" s="90" t="str">
        <x:v>Previous revenue</x:v>
      </x:c>
      <x:c r="C22" s="90" t="str">
        <x:v>Revenue growth</x:v>
      </x:c>
      <x:c r="D22" s="90" t="str">
        <x:v>New customers</x:v>
      </x:c>
      <x:c r="E22" s="90" t="str">
        <x:v>Cancelled customers</x:v>
      </x:c>
      <x:c r="F22" s="90" t="str">
        <x:v>Net customer change</x:v>
      </x:c>
      <x:c r="G22" s="90" t="str">
        <x:v>Owner h/week</x:v>
      </x:c>
      <x:c r="H22" s="90" t="str">
        <x:v>Reinvestment gate</x:v>
      </x:c>
    </x:row>
    <x:row r="23" ht="40" customHeight="1">
      <x:c r="A23" s="22" t="str">
        <x:v>Report setup</x:v>
      </x:c>
      <x:c r="B23" s="93" t="n">
        <x:f>SUMIFS(Actuals!$E$5:$E$204,Actuals!$B$5:$B$204,$E$4,Actuals!$C$5:$C$204,$A23,Actuals!$D$5:$D$204,"Revenue")</x:f>
        <x:v>0</x:v>
      </x:c>
      <x:c r="C23" s="97" t="n">
        <x:f>IFERROR(B8/B23-1,0)</x:f>
        <x:v>0</x:v>
      </x:c>
      <x:c r="D23" s="22" t="n">
        <x:f>SUMIFS(Operations!$D$5:$D$124,Operations!$A$5:$A$124,$B$4,Operations!$B$5:$B$124,$A23)</x:f>
        <x:v>0</x:v>
      </x:c>
      <x:c r="E23" s="22" t="n">
        <x:f>SUMIFS(Operations!$E$5:$E$124,Operations!$A$5:$A$124,$B$4,Operations!$B$5:$B$124,$A23)</x:f>
        <x:v>0</x:v>
      </x:c>
      <x:c r="F23" s="22" t="n">
        <x:f>D23-E23</x:f>
        <x:v>0</x:v>
      </x:c>
      <x:c r="G23" s="119" t="n">
        <x:f>G8*12/52</x:f>
        <x:v>0</x:v>
      </x:c>
      <x:c r="H23" s="22" t="str">
        <x:f>IF(B8=0,"Obtain paid proof",IF(D8&lt;=0,"Fix margin first",IF(K8&gt;0,"Fix failures first","Check CAC + retention manually")))</x:f>
        <x:v>Obtain paid proof</x:v>
      </x:c>
    </x:row>
    <x:row r="24" ht="40" customHeight="1">
      <x:c r="A24" s="22" t="str">
        <x:v>Report care</x:v>
      </x:c>
      <x:c r="B24" s="93" t="n">
        <x:f>SUMIFS(Actuals!$E$5:$E$204,Actuals!$B$5:$B$204,$E$4,Actuals!$C$5:$C$204,$A24,Actuals!$D$5:$D$204,"Revenue")</x:f>
        <x:v>0</x:v>
      </x:c>
      <x:c r="C24" s="97" t="n">
        <x:f>IFERROR(B9/B24-1,0)</x:f>
        <x:v>0</x:v>
      </x:c>
      <x:c r="D24" s="22" t="n">
        <x:f>SUMIFS(Operations!$D$5:$D$124,Operations!$A$5:$A$124,$B$4,Operations!$B$5:$B$124,$A24)</x:f>
        <x:v>0</x:v>
      </x:c>
      <x:c r="E24" s="22" t="n">
        <x:f>SUMIFS(Operations!$E$5:$E$124,Operations!$A$5:$A$124,$B$4,Operations!$B$5:$B$124,$A24)</x:f>
        <x:v>0</x:v>
      </x:c>
      <x:c r="F24" s="22" t="n">
        <x:f>D24-E24</x:f>
        <x:v>0</x:v>
      </x:c>
      <x:c r="G24" s="119" t="n">
        <x:f>G9*12/52</x:f>
        <x:v>0</x:v>
      </x:c>
      <x:c r="H24" s="22" t="str">
        <x:f>IF(B9=0,"Obtain paid proof",IF(D9&lt;=0,"Fix margin first",IF(K9&gt;0,"Fix failures first","Check CAC + retention manually")))</x:f>
        <x:v>Obtain paid proof</x:v>
      </x:c>
    </x:row>
    <x:row r="25" ht="40" customHeight="1">
      <x:c r="A25" s="22" t="str">
        <x:v>Site monitor</x:v>
      </x:c>
      <x:c r="B25" s="93" t="n">
        <x:f>SUMIFS(Actuals!$E$5:$E$204,Actuals!$B$5:$B$204,$E$4,Actuals!$C$5:$C$204,$A25,Actuals!$D$5:$D$204,"Revenue")</x:f>
        <x:v>0</x:v>
      </x:c>
      <x:c r="C25" s="97" t="n">
        <x:f>IFERROR(B10/B25-1,0)</x:f>
        <x:v>0</x:v>
      </x:c>
      <x:c r="D25" s="22" t="n">
        <x:f>SUMIFS(Operations!$D$5:$D$124,Operations!$A$5:$A$124,$B$4,Operations!$B$5:$B$124,$A25)</x:f>
        <x:v>0</x:v>
      </x:c>
      <x:c r="E25" s="22" t="n">
        <x:f>SUMIFS(Operations!$E$5:$E$124,Operations!$A$5:$A$124,$B$4,Operations!$B$5:$B$124,$A25)</x:f>
        <x:v>0</x:v>
      </x:c>
      <x:c r="F25" s="22" t="n">
        <x:f>D25-E25</x:f>
        <x:v>0</x:v>
      </x:c>
      <x:c r="G25" s="119" t="n">
        <x:f>G10*12/52</x:f>
        <x:v>0</x:v>
      </x:c>
      <x:c r="H25" s="22" t="str">
        <x:f>IF(B10=0,"Obtain paid proof",IF(D10&lt;=0,"Fix margin first",IF(K10&gt;0,"Fix failures first","Check CAC + retention manually")))</x:f>
        <x:v>Obtain paid proof</x:v>
      </x:c>
    </x:row>
    <x:row r="26" ht="40" customHeight="1">
      <x:c r="A26" s="22" t="str">
        <x:v>Toolkit</x:v>
      </x:c>
      <x:c r="B26" s="93" t="n">
        <x:f>SUMIFS(Actuals!$E$5:$E$204,Actuals!$B$5:$B$204,$E$4,Actuals!$C$5:$C$204,$A26,Actuals!$D$5:$D$204,"Revenue")</x:f>
        <x:v>0</x:v>
      </x:c>
      <x:c r="C26" s="97" t="n">
        <x:f>IFERROR(B11/B26-1,0)</x:f>
        <x:v>0</x:v>
      </x:c>
      <x:c r="D26" s="22" t="n">
        <x:f>SUMIFS(Operations!$D$5:$D$124,Operations!$A$5:$A$124,$B$4,Operations!$B$5:$B$124,$A26)</x:f>
        <x:v>0</x:v>
      </x:c>
      <x:c r="E26" s="22" t="n">
        <x:f>SUMIFS(Operations!$E$5:$E$124,Operations!$A$5:$A$124,$B$4,Operations!$B$5:$B$124,$A26)</x:f>
        <x:v>0</x:v>
      </x:c>
      <x:c r="F26" s="22" t="n">
        <x:f>D26-E26</x:f>
        <x:v>0</x:v>
      </x:c>
      <x:c r="G26" s="119" t="n">
        <x:f>G11*12/52</x:f>
        <x:v>0</x:v>
      </x:c>
      <x:c r="H26" s="22" t="str">
        <x:f>IF(B11=0,"Obtain paid proof",IF(D11&lt;=0,"Fix margin first",IF(K11&gt;0,"Fix failures first","Check CAC + retention manually")))</x:f>
        <x:v>Obtain paid proof</x:v>
      </x:c>
    </x:row>
    <x:row r="27" ht="40" customHeight="1">
      <x:c r="A27" s="22" t="str">
        <x:v>Other</x:v>
      </x:c>
      <x:c r="B27" s="93" t="n">
        <x:f>SUMIFS(Actuals!$E$5:$E$204,Actuals!$B$5:$B$204,$E$4,Actuals!$C$5:$C$204,$A27,Actuals!$D$5:$D$204,"Revenue")</x:f>
        <x:v>0</x:v>
      </x:c>
      <x:c r="C27" s="97" t="n">
        <x:f>IFERROR(B12/B27-1,0)</x:f>
        <x:v>0</x:v>
      </x:c>
      <x:c r="D27" s="22" t="n">
        <x:f>SUMIFS(Operations!$D$5:$D$124,Operations!$A$5:$A$124,$B$4,Operations!$B$5:$B$124,$A27)</x:f>
        <x:v>0</x:v>
      </x:c>
      <x:c r="E27" s="22" t="n">
        <x:f>SUMIFS(Operations!$E$5:$E$124,Operations!$A$5:$A$124,$B$4,Operations!$B$5:$B$124,$A27)</x:f>
        <x:v>0</x:v>
      </x:c>
      <x:c r="F27" s="22" t="n">
        <x:f>D27-E27</x:f>
        <x:v>0</x:v>
      </x:c>
      <x:c r="G27" s="119" t="n">
        <x:f>G12*12/52</x:f>
        <x:v>0</x:v>
      </x:c>
      <x:c r="H27" s="22" t="str">
        <x:f>IF(B12=0,"Obtain paid proof",IF(D12&lt;=0,"Fix margin first",IF(K12&gt;0,"Fix failures first","Check CAC + retention manually")))</x:f>
        <x:v>Obtain paid proof</x:v>
      </x:c>
    </x:row>
    <x:row r="30">
      <x:c r="A30" t="str">
        <x:v>Most profitable offer</x:v>
      </x:c>
      <x:c r="B30" t="str">
        <x:f>IF(SUM(B8:B12)=0,"No actual sales imported",INDEX(A8:A12,MATCH(MAX(D8:D12),D8:D12,0)))</x:f>
        <x:v>No actual sales imported</x:v>
      </x:c>
    </x:row>
    <x:row r="31">
      <x:c r="A31" t="str">
        <x:v>Fastest-growing offer</x:v>
      </x:c>
      <x:c r="B31" t="str">
        <x:f>IF(SUM(B23:B27)=0,"No comparison baseline",INDEX(A23:A27,MATCH(MAX(C23:C27),C23:C27,0)))</x:f>
        <x:v>No comparison baseline</x:v>
      </x:c>
    </x:row>
    <x:row r="33" ht="28" customHeight="1">
      <x:c r="A33" s="15" t="str">
        <x:v>Daily: investigate failures, overdue client work and payment exceptions. Weekly: reconcile revenue/costs; review retained customers, contribution per owner hour and acquisition quality. Reinvest only when measured CAC payback and retention justify it. Growth shown as zero without a prior-month denominator is undefined, not evidence of flat growth. Update month selectors together.</x:v>
      </x:c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</x:row>
    <x:row r="34" ht="28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</x:row>
    <x:row r="35" ht="28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</x:row>
  </x:sheetData>
  <x:mergeCells>
    <x:mergeCell ref="A1:H1"/>
    <x:mergeCell ref="A2:H2"/>
    <x:mergeCell ref="A17:M18"/>
    <x:mergeCell ref="B30:H30"/>
    <x:mergeCell ref="B31:H31"/>
    <x:mergeCell ref="A33:M3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40" hidden="0" customWidth="1"/>
  </x:cols>
  <x:sheetData>
    <x:row r="1" ht="32" customHeight="1">
      <x:c r="A1" s="3" t="str">
        <x:v>TOP 15 — SPEED-WEIGHTED SHORTLIST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Scores are judgement calls, not probabilities. Profit examples require the specified sales and exclude owner pay and income taxes.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Rank</x:v>
      </x:c>
      <x:c r="B4" s="28" t="str">
        <x:v>ID</x:v>
      </x:c>
      <x:c r="C4" s="28" t="str">
        <x:v>Opportunity</x:v>
      </x:c>
      <x:c r="D4" s="28" t="str">
        <x:v>Score</x:v>
      </x:c>
      <x:c r="E4" s="28" t="str">
        <x:v>First possible sale</x:v>
      </x:c>
      <x:c r="F4" s="28" t="str">
        <x:v>Test budget ceiling CAD</x:v>
      </x:c>
      <x:c r="G4" s="28" t="str">
        <x:v>Conditional M3 profit CAD</x:v>
      </x:c>
      <x:c r="H4" s="28" t="str">
        <x:v>Delivery auto target</x:v>
      </x:c>
      <x:c r="I4" s="28" t="str">
        <x:v>Total h/week at M3</x:v>
      </x:c>
      <x:c r="J4" s="28" t="str">
        <x:v>Main risk</x:v>
      </x:c>
      <x:c r="K4" s="28" t="str">
        <x:v>Evidence URLs</x:v>
      </x:c>
    </x:row>
    <x:row r="5" ht="72" customHeight="1">
      <x:c r="A5" s="25" t="n">
        <x:v>1</x:v>
      </x:c>
      <x:c r="B5" s="25" t="str">
        <x:v>O01</x:v>
      </x:c>
      <x:c r="C5" s="25" t="str">
        <x:v>Recurring-report automation sprint</x:v>
      </x:c>
      <x:c r="D5" s="25" t="n">
        <x:f>Opportunities!Y5</x:f>
        <x:v>88.99999999999999</x:v>
      </x:c>
      <x:c r="E5" s="25" t="str">
        <x:v>2–14 days</x:v>
      </x:c>
      <x:c r="F5" s="33" t="n">
        <x:v>100</x:v>
      </x:c>
      <x:c r="G5" s="33" t="n">
        <x:f>'Unit Economics'!O5</x:f>
        <x:v>1085.6599999999999</x:v>
      </x:c>
      <x:c r="H5" s="31" t="n">
        <x:v>0.8</x:v>
      </x:c>
      <x:c r="I5" s="25" t="n">
        <x:v>8</x:v>
      </x:c>
      <x:c r="J5" s="25" t="str">
        <x:v>Scope creep; buyer can already buy reporting software; sensitive data</x:v>
      </x:c>
      <x:c r="K5" s="25" t="str">
        <x:v>https://www.upwork.com/research/in-demand-skills-2026 | https://www.upwork.com/freelance-jobs/automation/ | https://agencyanalytics.com/pricing</x:v>
      </x:c>
    </x:row>
    <x:row r="6" ht="72" customHeight="1">
      <x:c r="A6" s="25" t="n">
        <x:v>2</x:v>
      </x:c>
      <x:c r="B6" s="25" t="str">
        <x:v>O02</x:v>
      </x:c>
      <x:c r="C6" s="25" t="str">
        <x:v>Supplier catalog cleanup</x:v>
      </x:c>
      <x:c r="D6" s="25" t="n">
        <x:f>Opportunities!Y6</x:f>
        <x:v>86.99999999999999</x:v>
      </x:c>
      <x:c r="E6" s="25" t="str">
        <x:v>2–14 days</x:v>
      </x:c>
      <x:c r="F6" s="33" t="n">
        <x:v>100</x:v>
      </x:c>
      <x:c r="G6" s="33" t="n">
        <x:f>'Unit Economics'!O6</x:f>
        <x:v>1160.49</x:v>
      </x:c>
      <x:c r="H6" s="31" t="n">
        <x:v>0.8</x:v>
      </x:c>
      <x:c r="I6" s="25" t="n">
        <x:v>8</x:v>
      </x:c>
      <x:c r="J6" s="25" t="str">
        <x:v>Accidental overwrites; dirty source images/data; existing cheap import tools</x:v>
      </x:c>
      <x:c r="K6" s="25" t="str">
        <x:v>https://matrixify.app/pricing/ | https://apps.shopify.com/excel-export-import | https://www.upwork.com/freelance-jobs/automation/</x:v>
      </x:c>
    </x:row>
    <x:row r="7" ht="72" customHeight="1">
      <x:c r="A7" s="25" t="n">
        <x:v>3</x:v>
      </x:c>
      <x:c r="B7" s="25" t="str">
        <x:v>O03</x:v>
      </x:c>
      <x:c r="C7" s="25" t="str">
        <x:v>Agency form-path monitoring</x:v>
      </x:c>
      <x:c r="D7" s="25" t="n">
        <x:f>Opportunities!Y7</x:f>
        <x:v>86</x:v>
      </x:c>
      <x:c r="E7" s="25" t="str">
        <x:v>7–21 days</x:v>
      </x:c>
      <x:c r="F7" s="33" t="n">
        <x:v>150</x:v>
      </x:c>
      <x:c r="G7" s="33" t="n">
        <x:f>'Unit Economics'!O7</x:f>
        <x:v>370.44</x:v>
      </x:c>
      <x:c r="H7" s="31" t="n">
        <x:v>0.9</x:v>
      </x:c>
      <x:c r="I7" s="25" t="n">
        <x:v>6</x:v>
      </x:c>
      <x:c r="J7" s="25" t="str">
        <x:v>False alerts; browser changes; monitoring expense; clients expect 24/7 repairs</x:v>
      </x:c>
      <x:c r="K7" s="25" t="str">
        <x:v>https://www.checklyhq.com/pricing/ | https://wpbuffs.com/plans/</x:v>
      </x:c>
    </x:row>
    <x:row r="8" ht="72" customHeight="1">
      <x:c r="A8" s="25" t="n">
        <x:v>4</x:v>
      </x:c>
      <x:c r="B8" s="25" t="str">
        <x:v>O04</x:v>
      </x:c>
      <x:c r="C8" s="25" t="str">
        <x:v>Purchase-order PDF to validated CSV</x:v>
      </x:c>
      <x:c r="D8" s="25" t="n">
        <x:f>Opportunities!Y8</x:f>
        <x:v>80</x:v>
      </x:c>
      <x:c r="E8" s="25" t="str">
        <x:v>3–21 days</x:v>
      </x:c>
      <x:c r="F8" s="33" t="n">
        <x:v>150</x:v>
      </x:c>
      <x:c r="G8" s="33" t="n">
        <x:f>'Unit Economics'!O8</x:f>
        <x:v>1030.6599999999999</x:v>
      </x:c>
      <x:c r="H8" s="31" t="n">
        <x:v>0.75</x:v>
      </x:c>
      <x:c r="I8" s="25" t="n">
        <x:v>9</x:v>
      </x:c>
      <x:c r="J8" s="25" t="str">
        <x:v>Wrong quantities/totals; OCR exceptions; commercially confidential inputs</x:v>
      </x:c>
      <x:c r="K8" s="25" t="str">
        <x:v>https://parseur.com/pricing | https://www.upwork.com/research/in-demand-skills-2026</x:v>
      </x:c>
    </x:row>
    <x:row r="9" ht="72" customHeight="1">
      <x:c r="A9" s="25" t="n">
        <x:v>5</x:v>
      </x:c>
      <x:c r="B9" s="25" t="str">
        <x:v>O05</x:v>
      </x:c>
      <x:c r="C9" s="25" t="str">
        <x:v>Licensed report-automation toolkit</x:v>
      </x:c>
      <x:c r="D9" s="25" t="n">
        <x:f>Opportunities!Y9</x:f>
        <x:v>79</x:v>
      </x:c>
      <x:c r="E9" s="25" t="str">
        <x:v>3–21 days</x:v>
      </x:c>
      <x:c r="F9" s="33" t="n">
        <x:v>100</x:v>
      </x:c>
      <x:c r="G9" s="33" t="n">
        <x:f>'Unit Economics'!O9</x:f>
        <x:v>329.3</x:v>
      </x:c>
      <x:c r="H9" s="31" t="n">
        <x:v>0.95</x:v>
      </x:c>
      <x:c r="I9" s="25" t="n">
        <x:v>4</x:v>
      </x:c>
      <x:c r="J9" s="25" t="str">
        <x:v>Free alternatives; no discovery; support takes longer than product margin</x:v>
      </x:c>
      <x:c r="K9" s="25" t="str">
        <x:v>https://agencyanalytics.com/pricing | https://gumroad.com/pricing | https://itch.io/docs/creators/payments</x:v>
      </x:c>
    </x:row>
    <x:row r="10" ht="72" customHeight="1">
      <x:c r="A10" s="25" t="n">
        <x:v>6</x:v>
      </x:c>
      <x:c r="B10" s="25" t="str">
        <x:v>O06</x:v>
      </x:c>
      <x:c r="C10" s="25" t="str">
        <x:v>Broken webhook/integration repair</x:v>
      </x:c>
      <x:c r="D10" s="25" t="n">
        <x:f>Opportunities!Y10</x:f>
        <x:v>76</x:v>
      </x:c>
      <x:c r="E10" s="25" t="str">
        <x:v>1–14 days</x:v>
      </x:c>
      <x:c r="F10" s="33" t="n">
        <x:v>100</x:v>
      </x:c>
      <x:c r="G10" s="33" t="n">
        <x:f>'Unit Economics'!O10</x:f>
        <x:v>905.49</x:v>
      </x:c>
      <x:c r="H10" s="31" t="n">
        <x:v>0.6</x:v>
      </x:c>
      <x:c r="I10" s="25" t="n">
        <x:v>9</x:v>
      </x:c>
      <x:c r="J10" s="25" t="str">
        <x:v>Unknown legacy code; incident urgency; customer credentials</x:v>
      </x:c>
      <x:c r="K10" s="25" t="str">
        <x:v>https://www.upwork.com/freelance-jobs/automation/ | https://www.make.com/pricing | https://n8n.io/pricing/</x:v>
      </x:c>
    </x:row>
    <x:row r="11" ht="72" customHeight="1">
      <x:c r="A11" s="25" t="n">
        <x:v>7</x:v>
      </x:c>
      <x:c r="B11" s="25" t="str">
        <x:v>O07</x:v>
      </x:c>
      <x:c r="C11" s="25" t="str">
        <x:v>Spreadsheet refresh/repair</x:v>
      </x:c>
      <x:c r="D11" s="25" t="n">
        <x:f>Opportunities!Y11</x:f>
        <x:v>76</x:v>
      </x:c>
      <x:c r="E11" s="25" t="str">
        <x:v>1–14 days</x:v>
      </x:c>
      <x:c r="F11" s="33" t="n">
        <x:v>60</x:v>
      </x:c>
      <x:c r="G11" s="33" t="n">
        <x:f>'Unit Economics'!O11</x:f>
        <x:v>800.99</x:v>
      </x:c>
      <x:c r="H11" s="31" t="n">
        <x:v>0.65</x:v>
      </x:c>
      <x:c r="I11" s="25" t="n">
        <x:v>9</x:v>
      </x:c>
      <x:c r="J11" s="25" t="str">
        <x:v>Opaque formulas; fragile dependencies; user input errors</x:v>
      </x:c>
      <x:c r="K11" s="25" t="str">
        <x:v>https://www.upwork.com/research/in-demand-skills-2026 | https://www.upwork.com/freelance-jobs/automation/</x:v>
      </x:c>
    </x:row>
    <x:row r="12" ht="72" customHeight="1">
      <x:c r="A12" s="25" t="n">
        <x:v>8</x:v>
      </x:c>
      <x:c r="B12" s="25" t="str">
        <x:v>O08</x:v>
      </x:c>
      <x:c r="C12" s="25" t="str">
        <x:v>CRM duplicate-cleanup sprint</x:v>
      </x:c>
      <x:c r="D12" s="25" t="n">
        <x:f>Opportunities!Y12</x:f>
        <x:v>74</x:v>
      </x:c>
      <x:c r="E12" s="25" t="str">
        <x:v>3–21 days</x:v>
      </x:c>
      <x:c r="F12" s="33" t="n">
        <x:v>100</x:v>
      </x:c>
      <x:c r="G12" s="33" t="n">
        <x:f>'Unit Economics'!O12</x:f>
        <x:v>722.66</x:v>
      </x:c>
      <x:c r="H12" s="31" t="n">
        <x:v>0.7</x:v>
      </x:c>
      <x:c r="I12" s="25" t="n">
        <x:v>8</x:v>
      </x:c>
      <x:c r="J12" s="25" t="str">
        <x:v>Merging distinct people; marketing consent loss; personal data</x:v>
      </x:c>
      <x:c r="K12" s="25" t="str">
        <x:v>https://www.insycle.com/pricing/ | https://www.upwork.com/research/in-demand-skills-2026</x:v>
      </x:c>
    </x:row>
    <x:row r="13" ht="72" customHeight="1">
      <x:c r="A13" s="25" t="n">
        <x:v>9</x:v>
      </x:c>
      <x:c r="B13" s="25" t="str">
        <x:v>O11</x:v>
      </x:c>
      <x:c r="C13" s="25" t="str">
        <x:v>Authorized export/API connector</x:v>
      </x:c>
      <x:c r="D13" s="25" t="n">
        <x:f>Opportunities!Y13</x:f>
        <x:v>74</x:v>
      </x:c>
      <x:c r="E13" s="25" t="str">
        <x:v>5–21 days</x:v>
      </x:c>
      <x:c r="F13" s="33" t="n">
        <x:v>150</x:v>
      </x:c>
      <x:c r="G13" s="33" t="n">
        <x:f>'Unit Economics'!O13</x:f>
        <x:v>1045.6599999999999</x:v>
      </x:c>
      <x:c r="H13" s="31" t="n">
        <x:v>0.8</x:v>
      </x:c>
      <x:c r="I13" s="25" t="n">
        <x:v>9</x:v>
      </x:c>
      <x:c r="J13" s="25" t="str">
        <x:v>API changes; access approval; weak reuse between customers</x:v>
      </x:c>
      <x:c r="K13" s="25" t="str">
        <x:v>https://www.upwork.com/freelance-jobs/automation/ | https://www.make.com/pricing</x:v>
      </x:c>
    </x:row>
    <x:row r="14" ht="72" customHeight="1">
      <x:c r="A14" s="25" t="n">
        <x:v>10</x:v>
      </x:c>
      <x:c r="B14" s="25" t="str">
        <x:v>O09</x:v>
      </x:c>
      <x:c r="C14" s="25" t="str">
        <x:v>Proposal-document automation</x:v>
      </x:c>
      <x:c r="D14" s="25" t="n">
        <x:f>Opportunities!Y14</x:f>
        <x:v>73.00000000000001</x:v>
      </x:c>
      <x:c r="E14" s="25" t="str">
        <x:v>3–21 days</x:v>
      </x:c>
      <x:c r="F14" s="33" t="n">
        <x:v>100</x:v>
      </x:c>
      <x:c r="G14" s="33" t="n">
        <x:f>'Unit Economics'!O14</x:f>
        <x:v>748.66</x:v>
      </x:c>
      <x:c r="H14" s="31" t="n">
        <x:v>0.8</x:v>
      </x:c>
      <x:c r="I14" s="25" t="n">
        <x:v>7</x:v>
      </x:c>
      <x:c r="J14" s="25" t="str">
        <x:v>Wrong scope/pricing clauses; generic features already available</x:v>
      </x:c>
      <x:c r="K14" s="25" t="str">
        <x:v>https://www.pandadoc.com/pricing/ | https://www.upwork.com/freelance-jobs/automation/</x:v>
      </x:c>
    </x:row>
    <x:row r="15" ht="72" customHeight="1">
      <x:c r="A15" s="25" t="n">
        <x:v>11</x:v>
      </x:c>
      <x:c r="B15" s="25" t="str">
        <x:v>O10</x:v>
      </x:c>
      <x:c r="C15" s="25" t="str">
        <x:v>Batch product-media optimization</x:v>
      </x:c>
      <x:c r="D15" s="25" t="n">
        <x:f>Opportunities!Y15</x:f>
        <x:v>72.99999999999999</x:v>
      </x:c>
      <x:c r="E15" s="25" t="str">
        <x:v>2–14 days</x:v>
      </x:c>
      <x:c r="F15" s="33" t="n">
        <x:v>100</x:v>
      </x:c>
      <x:c r="G15" s="33" t="n">
        <x:f>'Unit Economics'!O15</x:f>
        <x:v>574.3199999999999</x:v>
      </x:c>
      <x:c r="H15" s="31" t="n">
        <x:v>0.85</x:v>
      </x:c>
      <x:c r="I15" s="25" t="n">
        <x:v>7</x:v>
      </x:c>
      <x:c r="J15" s="25" t="str">
        <x:v>Commodity pricing; unauthorized image ownership; visual errors</x:v>
      </x:c>
      <x:c r="K15" s="25" t="str">
        <x:v>https://www.upwork.com/research/in-demand-skills-2026 | https://cloudconvert.com/pricing</x:v>
      </x:c>
    </x:row>
    <x:row r="16" ht="72" customHeight="1">
      <x:c r="A16" s="25" t="n">
        <x:v>12</x:v>
      </x:c>
      <x:c r="B16" s="25" t="str">
        <x:v>O14</x:v>
      </x:c>
      <x:c r="C16" s="25" t="str">
        <x:v>Game-engine productivity add-on</x:v>
      </x:c>
      <x:c r="D16" s="25" t="n">
        <x:f>Opportunities!Y16</x:f>
        <x:v>73</x:v>
      </x:c>
      <x:c r="E16" s="25" t="str">
        <x:v>7–30 days</x:v>
      </x:c>
      <x:c r="F16" s="33" t="n">
        <x:v>150</x:v>
      </x:c>
      <x:c r="G16" s="33" t="n">
        <x:f>'Unit Economics'!O16</x:f>
        <x:v>171.84</x:v>
      </x:c>
      <x:c r="H16" s="31" t="n">
        <x:v>0.9</x:v>
      </x:c>
      <x:c r="I16" s="25" t="n">
        <x:v>6</x:v>
      </x:c>
      <x:c r="J16" s="25" t="str">
        <x:v>Free add-ons; compatibility breaks; skill fit must be verified</x:v>
      </x:c>
      <x:c r="K16" s="25" t="str">
        <x:v>https://itch.io/game-assets/tag-godot | https://itch.io/docs/creators/payments</x:v>
      </x:c>
    </x:row>
    <x:row r="17" ht="72" customHeight="1">
      <x:c r="A17" s="25" t="n">
        <x:v>13</x:v>
      </x:c>
      <x:c r="B17" s="25" t="str">
        <x:v>O15</x:v>
      </x:c>
      <x:c r="C17" s="25" t="str">
        <x:v>Catalog QA subscription</x:v>
      </x:c>
      <x:c r="D17" s="25" t="n">
        <x:f>Opportunities!Y17</x:f>
        <x:v>72.99999999999999</x:v>
      </x:c>
      <x:c r="E17" s="25" t="str">
        <x:v>10–30 days</x:v>
      </x:c>
      <x:c r="F17" s="33" t="n">
        <x:v>250</x:v>
      </x:c>
      <x:c r="G17" s="33" t="n">
        <x:f>'Unit Economics'!O17</x:f>
        <x:v>138.64</x:v>
      </x:c>
      <x:c r="H17" s="31" t="n">
        <x:v>0.9</x:v>
      </x:c>
      <x:c r="I17" s="25" t="n">
        <x:v>7</x:v>
      </x:c>
      <x:c r="J17" s="25" t="str">
        <x:v>Existing import apps; OAuth/app review; merchant churn</x:v>
      </x:c>
      <x:c r="K17" s="25" t="str">
        <x:v>https://apps.shopify.com/excel-export-import | https://shopify.dev/docs/apps/launch/distribution/revenue-share | https://www.shopify.com/news/billion-dollar-ecosystem</x:v>
      </x:c>
    </x:row>
    <x:row r="18" ht="72" customHeight="1">
      <x:c r="A18" s="25" t="n">
        <x:v>14</x:v>
      </x:c>
      <x:c r="B18" s="25" t="str">
        <x:v>O53</x:v>
      </x:c>
      <x:c r="C18" s="25" t="str">
        <x:v>Customer-onboarding workflow</x:v>
      </x:c>
      <x:c r="D18" s="25" t="n">
        <x:f>Opportunities!Y18</x:f>
        <x:v>71</x:v>
      </x:c>
      <x:c r="E18" s="25" t="str">
        <x:v>3–21 days</x:v>
      </x:c>
      <x:c r="F18" s="33" t="n">
        <x:v>100</x:v>
      </x:c>
      <x:c r="G18" s="33" t="n">
        <x:f>'Unit Economics'!O18</x:f>
        <x:v>743.66</x:v>
      </x:c>
      <x:c r="H18" s="31" t="n">
        <x:v>0.8</x:v>
      </x:c>
      <x:c r="I18" s="25" t="n">
        <x:v>7</x:v>
      </x:c>
      <x:c r="J18" s="25" t="str">
        <x:v>Scope creep; permissions; existing automation templates</x:v>
      </x:c>
      <x:c r="K18" s="25" t="str">
        <x:v>https://www.make.com/pricing | https://n8n.io/pricing/ | https://www.upwork.com/freelance-jobs/automation/</x:v>
      </x:c>
    </x:row>
    <x:row r="19" ht="72" customHeight="1">
      <x:c r="A19" s="25" t="n">
        <x:v>15</x:v>
      </x:c>
      <x:c r="B19" s="25" t="str">
        <x:v>O12</x:v>
      </x:c>
      <x:c r="C19" s="25" t="str">
        <x:v>Email-authentication setup</x:v>
      </x:c>
      <x:c r="D19" s="25" t="n">
        <x:f>Opportunities!Y19</x:f>
        <x:v>69</x:v>
      </x:c>
      <x:c r="E19" s="25" t="str">
        <x:v>3–21 days</x:v>
      </x:c>
      <x:c r="F19" s="33" t="n">
        <x:v>100</x:v>
      </x:c>
      <x:c r="G19" s="33" t="n">
        <x:f>'Unit Economics'!O19</x:f>
        <x:v>639.49</x:v>
      </x:c>
      <x:c r="H19" s="31" t="n">
        <x:v>0.7</x:v>
      </x:c>
      <x:c r="I19" s="25" t="n">
        <x:v>7</x:v>
      </x:c>
      <x:c r="J19" s="25" t="str">
        <x:v>Incorrect DNS blocks real mail; specialist knowledge needed</x:v>
      </x:c>
      <x:c r="K19" s="25" t="str">
        <x:v>https://dmarcian.com/pricing/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44161537e7042af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0" hidden="0" customWidth="1"/>
    <x:col min="8" max="8" width="40" hidden="0" customWidth="1"/>
  </x:cols>
  <x:sheetData>
    <x:row r="1" ht="32" customHeight="1">
      <x:c r="A1" s="3" t="str">
        <x:v>STARTUP BUDGETS — SPENDING CAPS, NOT SHOPPING LISTS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CAD • computer/internet already available • registration, tax, insurance and privacy requirements depend on actual location and work.</x:v>
      </x:c>
      <x:c r="B2" s="7"/>
      <x:c r="C2" s="7"/>
      <x:c r="D2" s="7"/>
      <x:c r="E2" s="7"/>
      <x:c r="F2" s="7"/>
      <x:c r="G2" s="7"/>
      <x:c r="H2" s="7"/>
    </x:row>
    <x:row r="4" ht="48" customHeight="1">
      <x:c r="A4" s="28" t="str">
        <x:v>Budget</x:v>
      </x:c>
      <x:c r="B4" s="28" t="str">
        <x:v>Basic setup cap</x:v>
      </x:c>
      <x:c r="C4" s="28" t="str">
        <x:v>Tools / delivery cap</x:v>
      </x:c>
      <x:c r="D4" s="28" t="str">
        <x:v>Acquisition cap</x:v>
      </x:c>
      <x:c r="E4" s="28" t="str">
        <x:v>Professional-review reserve</x:v>
      </x:c>
      <x:c r="F4" s="28" t="str">
        <x:v>Untouched reserve</x:v>
      </x:c>
      <x:c r="G4" s="28" t="str">
        <x:v>Execution</x:v>
      </x:c>
      <x:c r="H4" s="28" t="str">
        <x:v>Constraints</x:v>
      </x:c>
    </x:row>
    <x:row r="5" ht="100" customHeight="1">
      <x:c r="A5" s="33" t="n">
        <x:v>0</x:v>
      </x:c>
      <x:c r="B5" s="33" t="n">
        <x:v>0</x:v>
      </x:c>
      <x:c r="C5" s="33" t="n">
        <x:v>0</x:v>
      </x:c>
      <x:c r="D5" s="33" t="n">
        <x:v>0</x:v>
      </x:c>
      <x:c r="E5" s="33" t="n">
        <x:v>0</x:v>
      </x:c>
      <x:c r="F5" s="33" t="n">
        <x:v>0</x:v>
      </x:c>
      <x:c r="G5" s="25" t="str">
        <x:v>Use existing equipment and a local demo. Permitted introductions/requested-work replies; client funds paid tools.</x:v>
      </x:c>
      <x:c r="H5" s="25" t="str">
        <x:v>No paid ads, paid job credits, new hosting or speculative software. Registration/eligibility costs may make a literal $0 launch impossible.</x:v>
      </x:c>
    </x:row>
    <x:row r="6" ht="100" customHeight="1">
      <x:c r="A6" s="33" t="n">
        <x:v>100</x:v>
      </x:c>
      <x:c r="B6" s="33" t="n">
        <x:v>0</x:v>
      </x:c>
      <x:c r="C6" s="33" t="n">
        <x:v>25</x:v>
      </x:c>
      <x:c r="D6" s="33" t="n">
        <x:v>40</x:v>
      </x:c>
      <x:c r="E6" s="33" t="n">
        <x:v>0</x:v>
      </x:c>
      <x:c r="F6" s="33" t="n">
        <x:v>35</x:v>
      </x:c>
      <x:c r="G6" s="25" t="str">
        <x:v>Keep the demo local; use a small capped acquisition test, reserve for paid-client delivery.</x:v>
      </x:c>
      <x:c r="H6" s="25" t="str">
        <x:v>Proposal credits cost money; do not assume 40 paid-platform applications fit this budget.</x:v>
      </x:c>
    </x:row>
    <x:row r="7" ht="100" customHeight="1">
      <x:c r="A7" s="33" t="n">
        <x:v>500</x:v>
      </x:c>
      <x:c r="B7" s="33" t="n">
        <x:v>50</x:v>
      </x:c>
      <x:c r="C7" s="33" t="n">
        <x:v>75</x:v>
      </x:c>
      <x:c r="D7" s="33" t="n">
        <x:v>100</x:v>
      </x:c>
      <x:c r="E7" s="33" t="n">
        <x:v>150</x:v>
      </x:c>
      <x:c r="F7" s="33" t="n">
        <x:v>125</x:v>
      </x:c>
      <x:c r="G7" s="25" t="str">
        <x:v>Best test envelope: one primary service, limited acquisition and targeted review; keep most spending gated.</x:v>
      </x:c>
      <x:c r="H7" s="25" t="str">
        <x:v>Professional-review allocation is a reserve, not a quote. Spend only for actual local requirements and paid work.</x:v>
      </x:c>
    </x:row>
    <x:row r="8" ht="100" customHeight="1">
      <x:c r="A8" s="33" t="n">
        <x:v>2000</x:v>
      </x:c>
      <x:c r="B8" s="33" t="n">
        <x:v>75</x:v>
      </x:c>
      <x:c r="C8" s="33" t="n">
        <x:v>150</x:v>
      </x:c>
      <x:c r="D8" s="33" t="n">
        <x:v>200</x:v>
      </x:c>
      <x:c r="E8" s="33" t="n">
        <x:v>400</x:v>
      </x:c>
      <x:c r="F8" s="33" t="n">
        <x:v>1175</x:v>
      </x:c>
      <x:c r="G8" s="25" t="str">
        <x:v>Use the same narrow offer. Preserve runway; spend on needed professional review and measurable delivery/partner tests.</x:v>
      </x:c>
      <x:c r="H8" s="25" t="str">
        <x:v>Do not spend $2,000 building five products or buying untested ads. Release reserve only after payment and unit-margin evidence.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890d07363b949f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MONTHLY PROFIT MILESTONES — NOT PROMISED OUTCOMES</x:v>
      </x:c>
      <x:c r="B1" s="3"/>
      <x:c r="C1" s="3"/>
      <x:c r="D1" s="3"/>
      <x:c r="E1" s="3"/>
    </x:row>
    <x:row r="2" ht="32" customHeight="1">
      <x:c r="A2" s="7" t="str">
        <x:v>Operating profit before owner pay and income tax. Repeated service projects count; durable subscription-only profit arrives later.</x:v>
      </x:c>
      <x:c r="B2" s="7"/>
      <x:c r="C2" s="7"/>
      <x:c r="D2" s="7"/>
      <x:c r="E2" s="7"/>
    </x:row>
    <x:row r="4" ht="48" customHeight="1">
      <x:c r="A4" s="28" t="str">
        <x:v>CAD per month</x:v>
      </x:c>
      <x:c r="B4" s="28" t="str">
        <x:v>Pessimistic / stop</x:v>
      </x:c>
      <x:c r="C4" s="28" t="str">
        <x:v>Base planning window</x:v>
      </x:c>
      <x:c r="D4" s="28" t="str">
        <x:v>Optimistic possibility</x:v>
      </x:c>
      <x:c r="E4" s="28" t="str">
        <x:v>Feasibility condition</x:v>
      </x:c>
    </x:row>
    <x:row r="5" ht="85" customHeight="1">
      <x:c r="A5" s="33" t="n">
        <x:v>100</x:v>
      </x:c>
      <x:c r="B5" s="25" t="str">
        <x:v>Not sustained in stop-loss case</x:v>
      </x:c>
      <x:c r="C5" s="25" t="str">
        <x:v>1–4 weeks</x:v>
      </x:c>
      <x:c r="D5" s="25" t="str">
        <x:v>3–14 days</x:v>
      </x:c>
      <x:c r="E5" s="25" t="str">
        <x:v>One small paid project can cover costs; not proof of recurring income.</x:v>
      </x:c>
    </x:row>
    <x:row r="6" ht="85" customHeight="1">
      <x:c r="A6" s="33" t="n">
        <x:v>500</x:v>
      </x:c>
      <x:c r="B6" s="25" t="str">
        <x:v>Not reached sustainably</x:v>
      </x:c>
      <x:c r="C6" s="25" t="str">
        <x:v>3–8 weeks</x:v>
      </x:c>
      <x:c r="D6" s="25" t="str">
        <x:v>1–4 weeks</x:v>
      </x:c>
      <x:c r="E6" s="25" t="str">
        <x:v>Requires repeated paid scope, not merely a deposit.</x:v>
      </x:c>
    </x:row>
    <x:row r="7" ht="85" customHeight="1">
      <x:c r="A7" s="33" t="n">
        <x:v>1000</x:v>
      </x:c>
      <x:c r="B7" s="25" t="str">
        <x:v>Not reached</x:v>
      </x:c>
      <x:c r="C7" s="25" t="str">
        <x:v>1–3 months</x:v>
      </x:c>
      <x:c r="D7" s="25" t="str">
        <x:v>2–6 weeks</x:v>
      </x:c>
      <x:c r="E7" s="25" t="str">
        <x:v>Services can do this before recurring subscriptions can.</x:v>
      </x:c>
    </x:row>
    <x:row r="8" ht="85" customHeight="1">
      <x:c r="A8" s="33" t="n">
        <x:v>3000</x:v>
      </x:c>
      <x:c r="B8" s="25" t="str">
        <x:v>Not reached</x:v>
      </x:c>
      <x:c r="C8" s="25" t="str">
        <x:v>3–6 months</x:v>
      </x:c>
      <x:c r="D8" s="25" t="str">
        <x:v>1–3 months</x:v>
      </x:c>
      <x:c r="E8" s="25" t="str">
        <x:v>Base model reaches this in month 3 with four 699 setups and other sales; not passive.</x:v>
      </x:c>
    </x:row>
    <x:row r="9" ht="85" customHeight="1">
      <x:c r="A9" s="33" t="n">
        <x:v>5000</x:v>
      </x:c>
      <x:c r="B9" s="25" t="str">
        <x:v>Not reached</x:v>
      </x:c>
      <x:c r="C9" s="25" t="str">
        <x:v>7–12 months</x:v>
      </x:c>
      <x:c r="D9" s="25" t="str">
        <x:v>2–4 months</x:v>
      </x:c>
      <x:c r="E9" s="25" t="str">
        <x:v>Base model crosses later; requires continued acquisition and successful retention.</x:v>
      </x:c>
    </x:row>
    <x:row r="10" ht="85" customHeight="1">
      <x:c r="A10" s="33" t="n">
        <x:v>10000</x:v>
      </x:c>
      <x:c r="B10" s="25" t="str">
        <x:v>Not reached</x:v>
      </x:c>
      <x:c r="C10" s="25" t="str">
        <x:v>Not within the modeled 12 months; 12–24+ months conditional</x:v>
      </x:c>
      <x:c r="D10" s="25" t="str">
        <x:v>4–8 months</x:v>
      </x:c>
      <x:c r="E10" s="25" t="str">
        <x:v>Beyond base model. Requires stronger pricing, partner distribution or a larger retained base.</x:v>
      </x:c>
    </x:row>
    <x:row r="11" ht="85" customHeight="1">
      <x:c r="A11" s="33" t="n">
        <x:v>25000</x:v>
      </x:c>
      <x:c r="B11" s="25" t="str">
        <x:v>Not reached</x:v>
      </x:c>
      <x:c r="C11" s="25" t="str">
        <x:v>No defensible base-case date</x:v>
      </x:c>
      <x:c r="D11" s="25" t="str">
        <x:v>8–12 months exceptional</x:v>
      </x:c>
      <x:c r="E11" s="25" t="str">
        <x:v>Optimistic case only; substantial outsourcing and distribution required.</x:v>
      </x:c>
    </x:row>
    <x:row r="12" ht="85" customHeight="1">
      <x:c r="A12" s="33" t="n">
        <x:v>50000</x:v>
      </x:c>
      <x:c r="B12" s="25" t="str">
        <x:v>Not reached</x:v>
      </x:c>
      <x:c r="C12" s="25" t="str">
        <x:v>No defensible base-case date</x:v>
      </x:c>
      <x:c r="D12" s="25" t="str">
        <x:v>Not reached in modeled year; 12–24+ months exceptional</x:v>
      </x:c>
      <x:c r="E12" s="25" t="str">
        <x:v>Would require a larger operation. At a hypothetical 50% margin, &gt;100k monthly revenue is needed.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dfbd74247784370"/>
  </x:tableParts>
</x:worksheet>
</file>